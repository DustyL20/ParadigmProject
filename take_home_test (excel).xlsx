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bdc05fd96ac8d0/Desktop/python interview/"/>
    </mc:Choice>
  </mc:AlternateContent>
  <xr:revisionPtr revIDLastSave="1" documentId="8_{E1108588-B485-41DD-B178-7D86C2844BB2}" xr6:coauthVersionLast="47" xr6:coauthVersionMax="47" xr10:uidLastSave="{79CB8815-FBD3-4C0D-91CC-351A7D99AA26}"/>
  <bookViews>
    <workbookView xWindow="-108" yWindow="-108" windowWidth="23256" windowHeight="13896" activeTab="2" xr2:uid="{00000000-000D-0000-FFFF-FFFF00000000}"/>
  </bookViews>
  <sheets>
    <sheet name="Test file" sheetId="1" r:id="rId1"/>
    <sheet name="expected output" sheetId="2" r:id="rId2"/>
    <sheet name="Helper" sheetId="3" r:id="rId3"/>
  </sheets>
  <externalReferences>
    <externalReference r:id="rId4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I16" i="3"/>
  <c r="H16" i="3"/>
  <c r="G16" i="3"/>
  <c r="F16" i="3"/>
  <c r="E16" i="3"/>
  <c r="D16" i="3"/>
  <c r="C16" i="3"/>
  <c r="B16" i="3"/>
  <c r="A16" i="3"/>
  <c r="I15" i="3"/>
  <c r="H15" i="3"/>
  <c r="G15" i="3"/>
  <c r="F15" i="3"/>
  <c r="E15" i="3"/>
  <c r="D15" i="3"/>
  <c r="C15" i="3"/>
  <c r="B15" i="3"/>
  <c r="A15" i="3"/>
  <c r="I14" i="3"/>
  <c r="H14" i="3"/>
  <c r="G14" i="3"/>
  <c r="F14" i="3"/>
  <c r="E14" i="3"/>
  <c r="D14" i="3"/>
  <c r="C14" i="3"/>
  <c r="B14" i="3"/>
  <c r="A14" i="3"/>
  <c r="I13" i="3"/>
  <c r="H13" i="3"/>
  <c r="G13" i="3"/>
  <c r="F13" i="3"/>
  <c r="E13" i="3"/>
  <c r="D13" i="3"/>
  <c r="C13" i="3"/>
  <c r="B13" i="3"/>
  <c r="A13" i="3"/>
  <c r="I12" i="3"/>
  <c r="H12" i="3"/>
  <c r="G12" i="3"/>
  <c r="F12" i="3"/>
  <c r="E12" i="3"/>
  <c r="D12" i="3"/>
  <c r="C12" i="3"/>
  <c r="B12" i="3"/>
  <c r="A12" i="3"/>
  <c r="I11" i="3"/>
  <c r="H11" i="3"/>
  <c r="G11" i="3"/>
  <c r="F11" i="3"/>
  <c r="E11" i="3"/>
  <c r="D11" i="3"/>
  <c r="C11" i="3"/>
  <c r="B11" i="3"/>
  <c r="A11" i="3"/>
  <c r="I10" i="3"/>
  <c r="H10" i="3"/>
  <c r="G10" i="3"/>
  <c r="F10" i="3"/>
  <c r="E10" i="3"/>
  <c r="D10" i="3"/>
  <c r="C10" i="3"/>
  <c r="B10" i="3"/>
  <c r="A10" i="3"/>
  <c r="I9" i="3"/>
  <c r="H9" i="3"/>
  <c r="G9" i="3"/>
  <c r="F9" i="3"/>
  <c r="E9" i="3"/>
  <c r="D9" i="3"/>
  <c r="C9" i="3"/>
  <c r="B9" i="3"/>
  <c r="A9" i="3"/>
  <c r="I8" i="3"/>
  <c r="H8" i="3"/>
  <c r="G8" i="3"/>
  <c r="F8" i="3"/>
  <c r="E8" i="3"/>
  <c r="D8" i="3"/>
  <c r="C8" i="3"/>
  <c r="B8" i="3"/>
  <c r="A8" i="3"/>
  <c r="I7" i="3"/>
  <c r="H7" i="3"/>
  <c r="G7" i="3"/>
  <c r="F7" i="3"/>
  <c r="E7" i="3"/>
  <c r="D7" i="3"/>
  <c r="C7" i="3"/>
  <c r="B7" i="3"/>
  <c r="A7" i="3"/>
  <c r="W19" i="1" s="1"/>
  <c r="I6" i="3"/>
  <c r="H6" i="3"/>
  <c r="G6" i="3"/>
  <c r="F6" i="3"/>
  <c r="E6" i="3"/>
  <c r="D6" i="3"/>
  <c r="C6" i="3"/>
  <c r="B6" i="3"/>
  <c r="A6" i="3"/>
  <c r="I5" i="3"/>
  <c r="H5" i="3"/>
  <c r="G5" i="3"/>
  <c r="F5" i="3"/>
  <c r="E5" i="3"/>
  <c r="D5" i="3"/>
  <c r="C5" i="3"/>
  <c r="B5" i="3"/>
  <c r="A5" i="3"/>
  <c r="I4" i="3"/>
  <c r="H4" i="3"/>
  <c r="G4" i="3"/>
  <c r="F4" i="3"/>
  <c r="E4" i="3"/>
  <c r="D4" i="3"/>
  <c r="C4" i="3"/>
  <c r="B4" i="3"/>
  <c r="A4" i="3"/>
  <c r="X2" i="1" s="1"/>
  <c r="I3" i="3"/>
  <c r="H3" i="3"/>
  <c r="G3" i="3"/>
  <c r="F3" i="3"/>
  <c r="E3" i="3"/>
  <c r="D3" i="3"/>
  <c r="C3" i="3"/>
  <c r="B3" i="3"/>
  <c r="A3" i="3"/>
  <c r="I2" i="3"/>
  <c r="H2" i="3"/>
  <c r="G2" i="3"/>
  <c r="F2" i="3"/>
  <c r="E2" i="3"/>
  <c r="D2" i="3"/>
  <c r="C2" i="3"/>
  <c r="B2" i="3"/>
  <c r="A2" i="3"/>
  <c r="X9" i="1" l="1"/>
  <c r="X16" i="1"/>
  <c r="V11" i="1"/>
  <c r="U18" i="1"/>
  <c r="R8" i="1"/>
  <c r="T6" i="1"/>
  <c r="V4" i="1"/>
  <c r="T13" i="1"/>
  <c r="R15" i="1"/>
  <c r="V18" i="1"/>
  <c r="S18" i="1"/>
  <c r="W4" i="1"/>
  <c r="U6" i="1"/>
  <c r="S8" i="1"/>
  <c r="Q10" i="1"/>
  <c r="W11" i="1"/>
  <c r="U13" i="1"/>
  <c r="S15" i="1"/>
  <c r="Q17" i="1"/>
  <c r="W18" i="1"/>
  <c r="R3" i="1"/>
  <c r="X4" i="1"/>
  <c r="V6" i="1"/>
  <c r="T8" i="1"/>
  <c r="R10" i="1"/>
  <c r="X11" i="1"/>
  <c r="V13" i="1"/>
  <c r="T15" i="1"/>
  <c r="R17" i="1"/>
  <c r="X18" i="1"/>
  <c r="S3" i="1"/>
  <c r="Q5" i="1"/>
  <c r="W6" i="1"/>
  <c r="U8" i="1"/>
  <c r="S10" i="1"/>
  <c r="Q12" i="1"/>
  <c r="W13" i="1"/>
  <c r="U15" i="1"/>
  <c r="S17" i="1"/>
  <c r="Q19" i="1"/>
  <c r="T3" i="1"/>
  <c r="R5" i="1"/>
  <c r="X6" i="1"/>
  <c r="V8" i="1"/>
  <c r="T10" i="1"/>
  <c r="R12" i="1"/>
  <c r="X13" i="1"/>
  <c r="V15" i="1"/>
  <c r="T17" i="1"/>
  <c r="R19" i="1"/>
  <c r="U3" i="1"/>
  <c r="S5" i="1"/>
  <c r="Q7" i="1"/>
  <c r="W8" i="1"/>
  <c r="U10" i="1"/>
  <c r="S12" i="1"/>
  <c r="Q14" i="1"/>
  <c r="W15" i="1"/>
  <c r="U17" i="1"/>
  <c r="S19" i="1"/>
  <c r="V3" i="1"/>
  <c r="T5" i="1"/>
  <c r="R7" i="1"/>
  <c r="X8" i="1"/>
  <c r="V10" i="1"/>
  <c r="T12" i="1"/>
  <c r="R14" i="1"/>
  <c r="X15" i="1"/>
  <c r="V17" i="1"/>
  <c r="T19" i="1"/>
  <c r="Q2" i="1"/>
  <c r="W3" i="1"/>
  <c r="U5" i="1"/>
  <c r="S7" i="1"/>
  <c r="Q9" i="1"/>
  <c r="W10" i="1"/>
  <c r="U12" i="1"/>
  <c r="S14" i="1"/>
  <c r="Q16" i="1"/>
  <c r="W17" i="1"/>
  <c r="U19" i="1"/>
  <c r="R2" i="1"/>
  <c r="X3" i="1"/>
  <c r="V5" i="1"/>
  <c r="T7" i="1"/>
  <c r="R9" i="1"/>
  <c r="X10" i="1"/>
  <c r="V12" i="1"/>
  <c r="T14" i="1"/>
  <c r="R16" i="1"/>
  <c r="X17" i="1"/>
  <c r="V19" i="1"/>
  <c r="Q3" i="1"/>
  <c r="S2" i="1"/>
  <c r="Q4" i="1"/>
  <c r="W5" i="1"/>
  <c r="U7" i="1"/>
  <c r="S9" i="1"/>
  <c r="Q11" i="1"/>
  <c r="W12" i="1"/>
  <c r="U14" i="1"/>
  <c r="S16" i="1"/>
  <c r="Q18" i="1"/>
  <c r="T2" i="1"/>
  <c r="R4" i="1"/>
  <c r="X5" i="1"/>
  <c r="V7" i="1"/>
  <c r="T9" i="1"/>
  <c r="R11" i="1"/>
  <c r="X12" i="1"/>
  <c r="V14" i="1"/>
  <c r="T16" i="1"/>
  <c r="R18" i="1"/>
  <c r="X19" i="1"/>
  <c r="U2" i="1"/>
  <c r="S4" i="1"/>
  <c r="Q6" i="1"/>
  <c r="W7" i="1"/>
  <c r="U9" i="1"/>
  <c r="S11" i="1"/>
  <c r="Q13" i="1"/>
  <c r="W14" i="1"/>
  <c r="U16" i="1"/>
  <c r="V2" i="1"/>
  <c r="T4" i="1"/>
  <c r="R6" i="1"/>
  <c r="X7" i="1"/>
  <c r="V9" i="1"/>
  <c r="T11" i="1"/>
  <c r="R13" i="1"/>
  <c r="X14" i="1"/>
  <c r="V16" i="1"/>
  <c r="T18" i="1"/>
  <c r="W2" i="1"/>
  <c r="U4" i="1"/>
  <c r="S6" i="1"/>
  <c r="Q8" i="1"/>
  <c r="W9" i="1"/>
  <c r="U11" i="1"/>
  <c r="S13" i="1"/>
  <c r="Q15" i="1"/>
  <c r="W16" i="1"/>
</calcChain>
</file>

<file path=xl/sharedStrings.xml><?xml version="1.0" encoding="utf-8"?>
<sst xmlns="http://schemas.openxmlformats.org/spreadsheetml/2006/main" count="389" uniqueCount="224">
  <si>
    <t>Client ID</t>
  </si>
  <si>
    <t>First Name</t>
  </si>
  <si>
    <t>MiddleName</t>
  </si>
  <si>
    <t>Last Name</t>
  </si>
  <si>
    <t>Company</t>
  </si>
  <si>
    <t>Address</t>
  </si>
  <si>
    <t>Home Fax</t>
  </si>
  <si>
    <t>Mobile Phone</t>
  </si>
  <si>
    <t>Contact Group</t>
  </si>
  <si>
    <t>E-mail Address</t>
  </si>
  <si>
    <t>Web Page</t>
  </si>
  <si>
    <t>Birthday</t>
  </si>
  <si>
    <t>Private Notes</t>
  </si>
  <si>
    <t>License Number</t>
  </si>
  <si>
    <t>Cases</t>
  </si>
  <si>
    <t>Case Link IDs</t>
  </si>
  <si>
    <t>FullName</t>
  </si>
  <si>
    <t>Street1</t>
  </si>
  <si>
    <t>Street2</t>
  </si>
  <si>
    <t>City</t>
  </si>
  <si>
    <t>State</t>
  </si>
  <si>
    <t>Zip</t>
  </si>
  <si>
    <t>CleanCases</t>
  </si>
  <si>
    <t>BirthdayFmt</t>
  </si>
  <si>
    <t>William</t>
  </si>
  <si>
    <t>Tim</t>
  </si>
  <si>
    <t>Barretta</t>
  </si>
  <si>
    <t xml:space="preserve">     </t>
  </si>
  <si>
    <t>Client</t>
  </si>
  <si>
    <t>William            Barretta</t>
  </si>
  <si>
    <t>Khaled</t>
  </si>
  <si>
    <t>Kayne</t>
  </si>
  <si>
    <t>Kamel</t>
  </si>
  <si>
    <t>2926 N Raine Blvd. 6, Tucson, State 1 11111</t>
  </si>
  <si>
    <t>(555) 555-5555</t>
  </si>
  <si>
    <t>user1@email.com</t>
  </si>
  <si>
    <t xml:space="preserve">Khaled Kamel      </t>
  </si>
  <si>
    <t>Dumisani</t>
  </si>
  <si>
    <t>Tembo</t>
  </si>
  <si>
    <t>email@domain.com</t>
  </si>
  <si>
    <t>People     v.      Tembo,       Dumisani</t>
  </si>
  <si>
    <t>Khanh</t>
  </si>
  <si>
    <t>Dee</t>
  </si>
  <si>
    <t>Dao</t>
  </si>
  <si>
    <t>435 N. Congress Ave., #180,  St Petersburg, State 2 11111</t>
  </si>
  <si>
    <t>(111) 852-4480</t>
  </si>
  <si>
    <t>Someone@box.com</t>
  </si>
  <si>
    <t>Khanh Dao</t>
  </si>
  <si>
    <t>Anmar</t>
  </si>
  <si>
    <t>Saad</t>
  </si>
  <si>
    <t>1234 Highland Square Lane,  Denver, State 3 11111</t>
  </si>
  <si>
    <t>mahmood@email.com</t>
  </si>
  <si>
    <t>F7390729</t>
  </si>
  <si>
    <t>Anmar    Saad</t>
  </si>
  <si>
    <t>Victor</t>
  </si>
  <si>
    <t>Henry</t>
  </si>
  <si>
    <t>Colonnese</t>
  </si>
  <si>
    <t>PO Box 200059,  Hollywood, State 4 11111</t>
  </si>
  <si>
    <t>(222) 987-1653</t>
  </si>
  <si>
    <t>barry@email.com</t>
  </si>
  <si>
    <t>Dorothy      Fujii</t>
  </si>
  <si>
    <t>Amol</t>
  </si>
  <si>
    <t>Hardikar</t>
  </si>
  <si>
    <t>200 Perry Street, Apt. 1505,  Dallas, State 5 11111</t>
  </si>
  <si>
    <t>(543) 471-2543</t>
  </si>
  <si>
    <t>Time01@email.com</t>
  </si>
  <si>
    <t>Amol Hardikar</t>
  </si>
  <si>
    <t>Tacktook</t>
  </si>
  <si>
    <t>Tachtook</t>
  </si>
  <si>
    <t>20 Barry Court Apt 203, Boston, State 6 11111</t>
  </si>
  <si>
    <t>(634) 684-6543</t>
  </si>
  <si>
    <t>dom@domain.com</t>
  </si>
  <si>
    <t>Tacktook      Tachtook v. Alison Aylsworth</t>
  </si>
  <si>
    <t>John</t>
  </si>
  <si>
    <t>Doe</t>
  </si>
  <si>
    <t xml:space="preserve">123 Main St.,  Santa Ana, State 7 11111 </t>
  </si>
  <si>
    <t>This is a sample contact.</t>
  </si>
  <si>
    <t>[SAMPLE] John            Doe Matter</t>
  </si>
  <si>
    <t>Marjorie</t>
  </si>
  <si>
    <t xml:space="preserve">                                </t>
  </si>
  <si>
    <t>Nishimata</t>
  </si>
  <si>
    <t>223 Greaterwealth Avenue Unit 70, Davie, State 8 11111</t>
  </si>
  <si>
    <t>(654) 673-9965</t>
  </si>
  <si>
    <t>email@klhj.com</t>
  </si>
  <si>
    <t>Marjorie      Nishimata</t>
  </si>
  <si>
    <t>Hamdy</t>
  </si>
  <si>
    <t>Fayad</t>
  </si>
  <si>
    <t>2036 Bryan Street,  Houston, State 9 11111</t>
  </si>
  <si>
    <t>dkhnfds@emial.com</t>
  </si>
  <si>
    <t>King   Market/SFDPH</t>
  </si>
  <si>
    <t>Jaime</t>
  </si>
  <si>
    <t>Lee</t>
  </si>
  <si>
    <t>Hersey</t>
  </si>
  <si>
    <t>99 W 10th Avenue Unit 14D,  Flint, State 10 11111</t>
  </si>
  <si>
    <t>me@aaa.com</t>
  </si>
  <si>
    <t>IRMO Hersey &amp; Banahan</t>
  </si>
  <si>
    <t>Andrew</t>
  </si>
  <si>
    <t>Rosete</t>
  </si>
  <si>
    <t>Valencia</t>
  </si>
  <si>
    <t>100 Hylein, Unit 4,  Tampa, State 11 11111</t>
  </si>
  <si>
    <t>(510) 334-7706</t>
  </si>
  <si>
    <t>fhasdj@domain.com</t>
  </si>
  <si>
    <t>IRMO Valencia</t>
  </si>
  <si>
    <t>Yen-Ming</t>
  </si>
  <si>
    <t>Hou</t>
  </si>
  <si>
    <t>901 Skycreek Drive #87, Miami, State 12 11111</t>
  </si>
  <si>
    <t>(650) 862-7558</t>
  </si>
  <si>
    <t>abc2932496@email.com</t>
  </si>
  <si>
    <t>IRMO       Mulroy &amp; Hou</t>
  </si>
  <si>
    <t>Matthew</t>
  </si>
  <si>
    <t>Phil</t>
  </si>
  <si>
    <t>Bryant</t>
  </si>
  <si>
    <t>4009 Bayle Street, Apt 803,  Seattle, State 13 11111</t>
  </si>
  <si>
    <t>mandatory@email.com</t>
  </si>
  <si>
    <t>Matthew Bryant</t>
  </si>
  <si>
    <t>Brittany</t>
  </si>
  <si>
    <t>Christine</t>
  </si>
  <si>
    <t>Scanlan</t>
  </si>
  <si>
    <t>101 Boardway Ave., Apt.#21,  Fort Lauderdale, State 14 11111</t>
  </si>
  <si>
    <t>(650) 580-4455 or (564) 189-2467</t>
  </si>
  <si>
    <t>bri@aaaaa.com</t>
  </si>
  <si>
    <t>IRMO Scanlan</t>
  </si>
  <si>
    <t>Lauren</t>
  </si>
  <si>
    <t>Gotelli</t>
  </si>
  <si>
    <t>6078 Burneigh Ave., #3,  Orlando, State 15 11111</t>
  </si>
  <si>
    <t>(415) 418-8395</t>
  </si>
  <si>
    <t>Lauren Gotelli</t>
  </si>
  <si>
    <t>Margarita</t>
  </si>
  <si>
    <t xml:space="preserve">                </t>
  </si>
  <si>
    <t>Gutierrez</t>
  </si>
  <si>
    <t>9087 Christmas Drive # 101, Las Vegas, State 16 11111</t>
  </si>
  <si>
    <t>gah@domain.com</t>
  </si>
  <si>
    <t>Margarita Gutierrez</t>
  </si>
  <si>
    <t>Full Name</t>
  </si>
  <si>
    <t>Zipcode</t>
  </si>
  <si>
    <t>Barretta, William Tim</t>
  </si>
  <si>
    <t>William Barretta</t>
  </si>
  <si>
    <t>Kamel, Khaled Kayne</t>
  </si>
  <si>
    <t>2926 N Raine</t>
  </si>
  <si>
    <t>Blvd. 6</t>
  </si>
  <si>
    <t>Tucson</t>
  </si>
  <si>
    <t>State 1</t>
  </si>
  <si>
    <t>Khaled Kamel</t>
  </si>
  <si>
    <t>Tembo, Dumisani</t>
  </si>
  <si>
    <t>People v. Tembo, Dumisani</t>
  </si>
  <si>
    <t>Dao, Khanh Dee</t>
  </si>
  <si>
    <t>435 N. Congress Ave.</t>
  </si>
  <si>
    <t>#180</t>
  </si>
  <si>
    <t>St Petersburg</t>
  </si>
  <si>
    <t>State 2</t>
  </si>
  <si>
    <t>Saad, Anmar</t>
  </si>
  <si>
    <t>1234 Highland Square Lane</t>
  </si>
  <si>
    <t>Denver</t>
  </si>
  <si>
    <t>State 3</t>
  </si>
  <si>
    <t>Anmar Saad</t>
  </si>
  <si>
    <t>Colonnese, Victor Henry</t>
  </si>
  <si>
    <t>PO Box 200059</t>
  </si>
  <si>
    <t>Hollywood</t>
  </si>
  <si>
    <t>State 4</t>
  </si>
  <si>
    <t>Dorothy Fujii</t>
  </si>
  <si>
    <t>Hardikar, Amol</t>
  </si>
  <si>
    <t>200 Perry Street</t>
  </si>
  <si>
    <t>Apt. 1505</t>
  </si>
  <si>
    <t>Dallas</t>
  </si>
  <si>
    <t>State 5</t>
  </si>
  <si>
    <t>Tachtook, Tacktook</t>
  </si>
  <si>
    <t>20 Barry Court</t>
  </si>
  <si>
    <t>Apt 203</t>
  </si>
  <si>
    <t>Boston</t>
  </si>
  <si>
    <t>State 6</t>
  </si>
  <si>
    <t>Tacktook Tachtook v. Alison Aylsworth</t>
  </si>
  <si>
    <t>Doe, John</t>
  </si>
  <si>
    <t>123 Main St.</t>
  </si>
  <si>
    <t>Santa Ana</t>
  </si>
  <si>
    <t>State 7</t>
  </si>
  <si>
    <t>[SAMPLE] John Doe Matter</t>
  </si>
  <si>
    <t>Nishimata, Marjorie</t>
  </si>
  <si>
    <t>223 Greaterwealth Avenue</t>
  </si>
  <si>
    <t>Unit 70</t>
  </si>
  <si>
    <t>Davie</t>
  </si>
  <si>
    <t>State 8</t>
  </si>
  <si>
    <t>Marjorie Nishimata</t>
  </si>
  <si>
    <t>Fayad, Hamdy</t>
  </si>
  <si>
    <t>2036 Bryan Street</t>
  </si>
  <si>
    <t>Houston</t>
  </si>
  <si>
    <t>State 9</t>
  </si>
  <si>
    <t>King Market/SFDPH</t>
  </si>
  <si>
    <t>Hersey, Jaime Lee</t>
  </si>
  <si>
    <t>99 W 10th Avenue</t>
  </si>
  <si>
    <t>Unit 14D</t>
  </si>
  <si>
    <t>Flint</t>
  </si>
  <si>
    <t>State 10</t>
  </si>
  <si>
    <t>Valencia, Andrew Rosete</t>
  </si>
  <si>
    <t>100 Hylein</t>
  </si>
  <si>
    <t>Unit 4</t>
  </si>
  <si>
    <t>Tampa</t>
  </si>
  <si>
    <t>State 11</t>
  </si>
  <si>
    <t>Hou, Yen-Ming</t>
  </si>
  <si>
    <t>901 Skycreek Drive</t>
  </si>
  <si>
    <t>#87</t>
  </si>
  <si>
    <t>Miami</t>
  </si>
  <si>
    <t>State 12</t>
  </si>
  <si>
    <t>IRMO Mulroy &amp; Hou</t>
  </si>
  <si>
    <t>Bryant, Matthew Phil</t>
  </si>
  <si>
    <t>4009 Bayle Street</t>
  </si>
  <si>
    <t>Apt 803</t>
  </si>
  <si>
    <t>Seattle</t>
  </si>
  <si>
    <t>State 13</t>
  </si>
  <si>
    <t>Scanlan, Brittany Christine</t>
  </si>
  <si>
    <t>101 Boardway Ave.</t>
  </si>
  <si>
    <t>Apt.#21</t>
  </si>
  <si>
    <t>Fort Lauderdale</t>
  </si>
  <si>
    <t>State 14</t>
  </si>
  <si>
    <t>Gotelli, Lauren</t>
  </si>
  <si>
    <t>6078 Burneigh Ave.</t>
  </si>
  <si>
    <t>#3</t>
  </si>
  <si>
    <t>Orlando</t>
  </si>
  <si>
    <t>State 15</t>
  </si>
  <si>
    <t>Gutierrez, Margarita</t>
  </si>
  <si>
    <t>9087 Christmas Drive</t>
  </si>
  <si>
    <t># 101</t>
  </si>
  <si>
    <t>Las Vegas</t>
  </si>
  <si>
    <t>State 16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</si>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</sst>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6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Test fil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expected output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9">
  <tableColumns count="16">
    <tableColumn id="1" xr3:uid="{00000000-0010-0000-0000-000001000000}" name="Client ID"/>
    <tableColumn id="2" xr3:uid="{00000000-0010-0000-0000-000002000000}" name="First Name"/>
    <tableColumn id="3" xr3:uid="{00000000-0010-0000-0000-000003000000}" name="MiddleName"/>
    <tableColumn id="4" xr3:uid="{00000000-0010-0000-0000-000004000000}" name="Last Name"/>
    <tableColumn id="5" xr3:uid="{00000000-0010-0000-0000-000005000000}" name="Company"/>
    <tableColumn id="6" xr3:uid="{00000000-0010-0000-0000-000006000000}" name="Address"/>
    <tableColumn id="7" xr3:uid="{00000000-0010-0000-0000-000007000000}" name="Home Fax"/>
    <tableColumn id="8" xr3:uid="{00000000-0010-0000-0000-000008000000}" name="Mobile Phone"/>
    <tableColumn id="9" xr3:uid="{00000000-0010-0000-0000-000009000000}" name="Contact Group"/>
    <tableColumn id="10" xr3:uid="{00000000-0010-0000-0000-00000A000000}" name="E-mail Address"/>
    <tableColumn id="11" xr3:uid="{00000000-0010-0000-0000-00000B000000}" name="Web Page"/>
    <tableColumn id="12" xr3:uid="{00000000-0010-0000-0000-00000C000000}" name="Birthday"/>
    <tableColumn id="13" xr3:uid="{00000000-0010-0000-0000-00000D000000}" name="Private Notes"/>
    <tableColumn id="14" xr3:uid="{00000000-0010-0000-0000-00000E000000}" name="License Number"/>
    <tableColumn id="15" xr3:uid="{00000000-0010-0000-0000-00000F000000}" name="Cases"/>
    <tableColumn id="16" xr3:uid="{00000000-0010-0000-0000-000010000000}" name="Case Link IDs"/>
  </tableColumns>
  <tableStyleInfo name="Test fi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V19">
  <tableColumns count="22">
    <tableColumn id="1" xr3:uid="{00000000-0010-0000-0100-000001000000}" name="Client ID"/>
    <tableColumn id="2" xr3:uid="{00000000-0010-0000-0100-000002000000}" name="First Name"/>
    <tableColumn id="3" xr3:uid="{00000000-0010-0000-0100-000003000000}" name="MiddleName"/>
    <tableColumn id="4" xr3:uid="{00000000-0010-0000-0100-000004000000}" name="Last Name"/>
    <tableColumn id="5" xr3:uid="{00000000-0010-0000-0100-000005000000}" name="Full Name"/>
    <tableColumn id="6" xr3:uid="{00000000-0010-0000-0100-000006000000}" name="Company"/>
    <tableColumn id="7" xr3:uid="{00000000-0010-0000-0100-000007000000}" name="Address"/>
    <tableColumn id="8" xr3:uid="{00000000-0010-0000-0100-000008000000}" name="Street1"/>
    <tableColumn id="9" xr3:uid="{00000000-0010-0000-0100-000009000000}" name="Street2"/>
    <tableColumn id="10" xr3:uid="{00000000-0010-0000-0100-00000A000000}" name="City"/>
    <tableColumn id="11" xr3:uid="{00000000-0010-0000-0100-00000B000000}" name="State"/>
    <tableColumn id="12" xr3:uid="{00000000-0010-0000-0100-00000C000000}" name="Zipcode"/>
    <tableColumn id="13" xr3:uid="{00000000-0010-0000-0100-00000D000000}" name="Home Fax"/>
    <tableColumn id="14" xr3:uid="{00000000-0010-0000-0100-00000E000000}" name="Mobile Phone"/>
    <tableColumn id="15" xr3:uid="{00000000-0010-0000-0100-00000F000000}" name="Contact Group"/>
    <tableColumn id="16" xr3:uid="{00000000-0010-0000-0100-000010000000}" name="E-mail Address"/>
    <tableColumn id="17" xr3:uid="{00000000-0010-0000-0100-000011000000}" name="Web Page"/>
    <tableColumn id="18" xr3:uid="{00000000-0010-0000-0100-000012000000}" name="Birthday"/>
    <tableColumn id="19" xr3:uid="{00000000-0010-0000-0100-000013000000}" name="Private Notes"/>
    <tableColumn id="20" xr3:uid="{00000000-0010-0000-0100-000014000000}" name="License Number"/>
    <tableColumn id="21" xr3:uid="{00000000-0010-0000-0100-000015000000}" name="Cases"/>
    <tableColumn id="22" xr3:uid="{00000000-0010-0000-0100-000016000000}" name="Case Link IDs"/>
  </tableColumns>
  <tableStyleInfo name="expected outp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klhj.com" TargetMode="External"/><Relationship Id="rId13" Type="http://schemas.openxmlformats.org/officeDocument/2006/relationships/hyperlink" Target="mailto:mandatory@email.com" TargetMode="External"/><Relationship Id="rId3" Type="http://schemas.openxmlformats.org/officeDocument/2006/relationships/hyperlink" Target="mailto:Someone@box.com" TargetMode="External"/><Relationship Id="rId7" Type="http://schemas.openxmlformats.org/officeDocument/2006/relationships/hyperlink" Target="mailto:dom@domain.com" TargetMode="External"/><Relationship Id="rId12" Type="http://schemas.openxmlformats.org/officeDocument/2006/relationships/hyperlink" Target="mailto:abc2932496@email.com" TargetMode="External"/><Relationship Id="rId2" Type="http://schemas.openxmlformats.org/officeDocument/2006/relationships/hyperlink" Target="mailto:email@domain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user1@email.com" TargetMode="External"/><Relationship Id="rId6" Type="http://schemas.openxmlformats.org/officeDocument/2006/relationships/hyperlink" Target="mailto:Time01@email.com" TargetMode="External"/><Relationship Id="rId11" Type="http://schemas.openxmlformats.org/officeDocument/2006/relationships/hyperlink" Target="mailto:fhasdj@domain.com" TargetMode="External"/><Relationship Id="rId5" Type="http://schemas.openxmlformats.org/officeDocument/2006/relationships/hyperlink" Target="mailto:barry@email.com" TargetMode="External"/><Relationship Id="rId15" Type="http://schemas.openxmlformats.org/officeDocument/2006/relationships/hyperlink" Target="mailto:gah@domain.com" TargetMode="External"/><Relationship Id="rId10" Type="http://schemas.openxmlformats.org/officeDocument/2006/relationships/hyperlink" Target="mailto:me@aaa.com" TargetMode="External"/><Relationship Id="rId4" Type="http://schemas.openxmlformats.org/officeDocument/2006/relationships/hyperlink" Target="mailto:mahmood@email.com" TargetMode="External"/><Relationship Id="rId9" Type="http://schemas.openxmlformats.org/officeDocument/2006/relationships/hyperlink" Target="mailto:dkhnfds@emial.com" TargetMode="External"/><Relationship Id="rId14" Type="http://schemas.openxmlformats.org/officeDocument/2006/relationships/hyperlink" Target="mailto:bri@aaaaa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klhj.com" TargetMode="External"/><Relationship Id="rId13" Type="http://schemas.openxmlformats.org/officeDocument/2006/relationships/hyperlink" Target="mailto:mandatory@email.com" TargetMode="External"/><Relationship Id="rId3" Type="http://schemas.openxmlformats.org/officeDocument/2006/relationships/hyperlink" Target="mailto:Someone@box.com" TargetMode="External"/><Relationship Id="rId7" Type="http://schemas.openxmlformats.org/officeDocument/2006/relationships/hyperlink" Target="mailto:dom@domain.com" TargetMode="External"/><Relationship Id="rId12" Type="http://schemas.openxmlformats.org/officeDocument/2006/relationships/hyperlink" Target="mailto:abc2932496@email.com" TargetMode="External"/><Relationship Id="rId2" Type="http://schemas.openxmlformats.org/officeDocument/2006/relationships/hyperlink" Target="mailto:email@domain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user1@email.com" TargetMode="External"/><Relationship Id="rId6" Type="http://schemas.openxmlformats.org/officeDocument/2006/relationships/hyperlink" Target="mailto:Time01@email.com" TargetMode="External"/><Relationship Id="rId11" Type="http://schemas.openxmlformats.org/officeDocument/2006/relationships/hyperlink" Target="mailto:fhasdj@domain.com" TargetMode="External"/><Relationship Id="rId5" Type="http://schemas.openxmlformats.org/officeDocument/2006/relationships/hyperlink" Target="mailto:barry@email.com" TargetMode="External"/><Relationship Id="rId15" Type="http://schemas.openxmlformats.org/officeDocument/2006/relationships/hyperlink" Target="mailto:gah@domain.com" TargetMode="External"/><Relationship Id="rId10" Type="http://schemas.openxmlformats.org/officeDocument/2006/relationships/hyperlink" Target="mailto:me@aaa.com" TargetMode="External"/><Relationship Id="rId4" Type="http://schemas.openxmlformats.org/officeDocument/2006/relationships/hyperlink" Target="mailto:mahmood@email.com" TargetMode="External"/><Relationship Id="rId9" Type="http://schemas.openxmlformats.org/officeDocument/2006/relationships/hyperlink" Target="mailto:dkhnfds@emial.com" TargetMode="External"/><Relationship Id="rId14" Type="http://schemas.openxmlformats.org/officeDocument/2006/relationships/hyperlink" Target="mailto:bri@aaa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I1" workbookViewId="0">
      <selection activeCell="Q2" sqref="Q2"/>
    </sheetView>
  </sheetViews>
  <sheetFormatPr defaultColWidth="12.6640625" defaultRowHeight="15" customHeight="1" x14ac:dyDescent="0.3"/>
  <cols>
    <col min="1" max="4" width="9.77734375" customWidth="1"/>
    <col min="5" max="5" width="8.6640625" customWidth="1"/>
    <col min="6" max="7" width="10.6640625" customWidth="1"/>
    <col min="8" max="8" width="14.77734375" customWidth="1"/>
    <col min="9" max="9" width="15.33203125" customWidth="1"/>
    <col min="10" max="10" width="16.21875" customWidth="1"/>
    <col min="11" max="11" width="16.6640625" customWidth="1"/>
    <col min="12" max="12" width="12" customWidth="1"/>
    <col min="13" max="13" width="10.6640625" customWidth="1"/>
    <col min="14" max="14" width="15.21875" customWidth="1"/>
    <col min="15" max="15" width="35.21875" customWidth="1"/>
    <col min="16" max="16" width="11.5546875" bestFit="1" customWidth="1"/>
    <col min="17" max="22" width="8.6640625" customWidth="1"/>
    <col min="23" max="23" width="10.6640625" bestFit="1" customWidth="1"/>
    <col min="24" max="26" width="8.6640625" customWidth="1"/>
  </cols>
  <sheetData>
    <row r="1" spans="1:24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4.4" customHeight="1" x14ac:dyDescent="0.3">
      <c r="A2" s="1">
        <v>7398191</v>
      </c>
      <c r="B2" s="1" t="s">
        <v>24</v>
      </c>
      <c r="C2" s="1" t="s">
        <v>25</v>
      </c>
      <c r="D2" s="1" t="s">
        <v>26</v>
      </c>
      <c r="E2" s="1"/>
      <c r="F2" s="1" t="s">
        <v>27</v>
      </c>
      <c r="G2" s="1"/>
      <c r="H2" s="1"/>
      <c r="I2" s="1" t="s">
        <v>28</v>
      </c>
      <c r="J2" s="1"/>
      <c r="K2" s="1"/>
      <c r="L2" s="1"/>
      <c r="M2" s="1"/>
      <c r="N2" s="1"/>
      <c r="O2" s="1" t="s">
        <v>29</v>
      </c>
      <c r="P2" s="1">
        <v>3783285</v>
      </c>
      <c r="Q2" t="e">
        <f>VLOOKUP($A2,Helper!$A:$I,2,FALSE)</f>
        <v>#N/A</v>
      </c>
      <c r="R2" t="e">
        <f>VLOOKUP($A2,Helper!$A:$I,3,FALSE)</f>
        <v>#N/A</v>
      </c>
      <c r="S2" t="e">
        <f>VLOOKUP($A2,Helper!$A:$I,4,FALSE)</f>
        <v>#N/A</v>
      </c>
      <c r="T2" t="e">
        <f>VLOOKUP($A2,Helper!$A:$I,5,FALSE)</f>
        <v>#N/A</v>
      </c>
      <c r="U2" t="e">
        <f>VLOOKUP($A2,Helper!$A:$I,6,FALSE)</f>
        <v>#N/A</v>
      </c>
      <c r="V2" t="e">
        <f>VLOOKUP($A2,Helper!$A:$I,7,FALSE)</f>
        <v>#N/A</v>
      </c>
      <c r="W2" t="e">
        <f>VLOOKUP($A2,Helper!$A:$I,8,FALSE)</f>
        <v>#N/A</v>
      </c>
      <c r="X2" t="e">
        <f>VLOOKUP($A2,Helper!$A:$I,9,FALSE)</f>
        <v>#N/A</v>
      </c>
    </row>
    <row r="3" spans="1:24" ht="14.4" customHeight="1" x14ac:dyDescent="0.3">
      <c r="A3" s="1">
        <v>7439820</v>
      </c>
      <c r="B3" s="1" t="s">
        <v>30</v>
      </c>
      <c r="C3" s="1" t="s">
        <v>31</v>
      </c>
      <c r="D3" s="1" t="s">
        <v>32</v>
      </c>
      <c r="E3" s="1"/>
      <c r="F3" s="1" t="s">
        <v>33</v>
      </c>
      <c r="G3" s="1"/>
      <c r="H3" s="1" t="s">
        <v>34</v>
      </c>
      <c r="I3" s="1" t="s">
        <v>28</v>
      </c>
      <c r="J3" s="2" t="s">
        <v>35</v>
      </c>
      <c r="K3" s="1"/>
      <c r="L3" s="1"/>
      <c r="M3" s="1"/>
      <c r="N3" s="1"/>
      <c r="O3" s="1" t="s">
        <v>36</v>
      </c>
      <c r="P3" s="1">
        <v>3810123</v>
      </c>
      <c r="Q3" t="e">
        <f>VLOOKUP($A3,Helper!$A:$I,2,FALSE)</f>
        <v>#N/A</v>
      </c>
      <c r="R3" t="e">
        <f>VLOOKUP($A3,Helper!$A:$I,3,FALSE)</f>
        <v>#N/A</v>
      </c>
      <c r="S3" t="e">
        <f>VLOOKUP($A3,Helper!$A:$I,4,FALSE)</f>
        <v>#N/A</v>
      </c>
      <c r="T3" t="e">
        <f>VLOOKUP($A3,Helper!$A:$I,5,FALSE)</f>
        <v>#N/A</v>
      </c>
      <c r="U3" t="e">
        <f>VLOOKUP($A3,Helper!$A:$I,6,FALSE)</f>
        <v>#N/A</v>
      </c>
      <c r="V3" t="e">
        <f>VLOOKUP($A3,Helper!$A:$I,7,FALSE)</f>
        <v>#N/A</v>
      </c>
      <c r="W3" t="e">
        <f>VLOOKUP($A3,Helper!$A:$I,8,FALSE)</f>
        <v>#N/A</v>
      </c>
      <c r="X3" t="e">
        <f>VLOOKUP($A3,Helper!$A:$I,9,FALSE)</f>
        <v>#N/A</v>
      </c>
    </row>
    <row r="4" spans="1:24" ht="14.4" customHeight="1" x14ac:dyDescent="0.3">
      <c r="A4" s="1">
        <v>7451828</v>
      </c>
      <c r="B4" s="1" t="s">
        <v>37</v>
      </c>
      <c r="C4" s="1" t="s">
        <v>27</v>
      </c>
      <c r="D4" s="1" t="s">
        <v>38</v>
      </c>
      <c r="E4" s="1"/>
      <c r="F4" s="1" t="s">
        <v>27</v>
      </c>
      <c r="G4" s="1"/>
      <c r="H4" s="1"/>
      <c r="I4" s="1" t="s">
        <v>28</v>
      </c>
      <c r="J4" s="2" t="s">
        <v>39</v>
      </c>
      <c r="K4" s="1"/>
      <c r="L4" s="1"/>
      <c r="M4" s="1"/>
      <c r="N4" s="1"/>
      <c r="O4" s="1" t="s">
        <v>40</v>
      </c>
      <c r="P4" s="1">
        <v>3820215</v>
      </c>
      <c r="Q4" t="e">
        <f>VLOOKUP($A4,Helper!$A:$I,2,FALSE)</f>
        <v>#N/A</v>
      </c>
      <c r="R4" t="e">
        <f>VLOOKUP($A4,Helper!$A:$I,3,FALSE)</f>
        <v>#N/A</v>
      </c>
      <c r="S4" t="e">
        <f>VLOOKUP($A4,Helper!$A:$I,4,FALSE)</f>
        <v>#N/A</v>
      </c>
      <c r="T4" t="e">
        <f>VLOOKUP($A4,Helper!$A:$I,5,FALSE)</f>
        <v>#N/A</v>
      </c>
      <c r="U4" t="e">
        <f>VLOOKUP($A4,Helper!$A:$I,6,FALSE)</f>
        <v>#N/A</v>
      </c>
      <c r="V4" t="e">
        <f>VLOOKUP($A4,Helper!$A:$I,7,FALSE)</f>
        <v>#N/A</v>
      </c>
      <c r="W4" t="e">
        <f>VLOOKUP($A4,Helper!$A:$I,8,FALSE)</f>
        <v>#N/A</v>
      </c>
      <c r="X4" t="e">
        <f>VLOOKUP($A4,Helper!$A:$I,9,FALSE)</f>
        <v>#N/A</v>
      </c>
    </row>
    <row r="5" spans="1:24" ht="14.4" customHeight="1" x14ac:dyDescent="0.3">
      <c r="A5" s="1">
        <v>7871642</v>
      </c>
      <c r="B5" s="1" t="s">
        <v>41</v>
      </c>
      <c r="C5" s="1" t="s">
        <v>42</v>
      </c>
      <c r="D5" s="1" t="s">
        <v>43</v>
      </c>
      <c r="E5" s="1"/>
      <c r="F5" s="1" t="s">
        <v>44</v>
      </c>
      <c r="G5" s="1"/>
      <c r="H5" s="1" t="s">
        <v>45</v>
      </c>
      <c r="I5" s="1" t="s">
        <v>28</v>
      </c>
      <c r="J5" s="2" t="s">
        <v>46</v>
      </c>
      <c r="K5" s="1"/>
      <c r="L5" s="1"/>
      <c r="M5" s="1"/>
      <c r="N5" s="1"/>
      <c r="O5" s="1" t="s">
        <v>47</v>
      </c>
      <c r="P5" s="1">
        <v>4066854</v>
      </c>
      <c r="Q5" t="e">
        <f>VLOOKUP($A5,Helper!$A:$I,2,FALSE)</f>
        <v>#N/A</v>
      </c>
      <c r="R5" t="e">
        <f>VLOOKUP($A5,Helper!$A:$I,3,FALSE)</f>
        <v>#N/A</v>
      </c>
      <c r="S5" t="e">
        <f>VLOOKUP($A5,Helper!$A:$I,4,FALSE)</f>
        <v>#N/A</v>
      </c>
      <c r="T5" t="e">
        <f>VLOOKUP($A5,Helper!$A:$I,5,FALSE)</f>
        <v>#N/A</v>
      </c>
      <c r="U5" t="e">
        <f>VLOOKUP($A5,Helper!$A:$I,6,FALSE)</f>
        <v>#N/A</v>
      </c>
      <c r="V5" t="e">
        <f>VLOOKUP($A5,Helper!$A:$I,7,FALSE)</f>
        <v>#N/A</v>
      </c>
      <c r="W5" t="e">
        <f>VLOOKUP($A5,Helper!$A:$I,8,FALSE)</f>
        <v>#N/A</v>
      </c>
      <c r="X5" t="e">
        <f>VLOOKUP($A5,Helper!$A:$I,9,FALSE)</f>
        <v>#N/A</v>
      </c>
    </row>
    <row r="6" spans="1:24" ht="14.4" customHeight="1" x14ac:dyDescent="0.3">
      <c r="A6" s="1">
        <v>8004314</v>
      </c>
      <c r="B6" s="1" t="s">
        <v>48</v>
      </c>
      <c r="C6" s="1"/>
      <c r="D6" s="1" t="s">
        <v>49</v>
      </c>
      <c r="E6" s="1"/>
      <c r="F6" s="1" t="s">
        <v>50</v>
      </c>
      <c r="G6" s="1"/>
      <c r="H6" s="1"/>
      <c r="I6" s="1" t="s">
        <v>28</v>
      </c>
      <c r="J6" s="2" t="s">
        <v>51</v>
      </c>
      <c r="K6" s="1"/>
      <c r="L6" s="3">
        <v>31648</v>
      </c>
      <c r="M6" s="1"/>
      <c r="N6" s="1" t="s">
        <v>52</v>
      </c>
      <c r="O6" s="1" t="s">
        <v>53</v>
      </c>
      <c r="P6" s="1">
        <v>4134776</v>
      </c>
      <c r="Q6" t="e">
        <f>VLOOKUP($A6,Helper!$A:$I,2,FALSE)</f>
        <v>#N/A</v>
      </c>
      <c r="R6" t="e">
        <f>VLOOKUP($A6,Helper!$A:$I,3,FALSE)</f>
        <v>#N/A</v>
      </c>
      <c r="S6" t="e">
        <f>VLOOKUP($A6,Helper!$A:$I,4,FALSE)</f>
        <v>#N/A</v>
      </c>
      <c r="T6" t="e">
        <f>VLOOKUP($A6,Helper!$A:$I,5,FALSE)</f>
        <v>#N/A</v>
      </c>
      <c r="U6" t="e">
        <f>VLOOKUP($A6,Helper!$A:$I,6,FALSE)</f>
        <v>#N/A</v>
      </c>
      <c r="V6" t="e">
        <f>VLOOKUP($A6,Helper!$A:$I,7,FALSE)</f>
        <v>#N/A</v>
      </c>
      <c r="W6" t="e">
        <f>VLOOKUP($A6,Helper!$A:$I,8,FALSE)</f>
        <v>#N/A</v>
      </c>
      <c r="X6" t="e">
        <f>VLOOKUP($A6,Helper!$A:$I,9,FALSE)</f>
        <v>#N/A</v>
      </c>
    </row>
    <row r="7" spans="1:24" ht="14.4" customHeight="1" x14ac:dyDescent="0.3">
      <c r="A7" s="1">
        <v>8393082</v>
      </c>
      <c r="B7" s="1" t="s">
        <v>54</v>
      </c>
      <c r="C7" s="1" t="s">
        <v>55</v>
      </c>
      <c r="D7" s="1" t="s">
        <v>56</v>
      </c>
      <c r="E7" s="1"/>
      <c r="F7" s="1" t="s">
        <v>57</v>
      </c>
      <c r="G7" s="1"/>
      <c r="H7" s="1" t="s">
        <v>58</v>
      </c>
      <c r="I7" s="1" t="s">
        <v>28</v>
      </c>
      <c r="J7" s="2" t="s">
        <v>59</v>
      </c>
      <c r="K7" s="1"/>
      <c r="L7" s="1"/>
      <c r="M7" s="1"/>
      <c r="N7" s="1"/>
      <c r="O7" s="1" t="s">
        <v>60</v>
      </c>
      <c r="P7" s="1">
        <v>4411263</v>
      </c>
      <c r="Q7" t="e">
        <f>VLOOKUP($A7,Helper!$A:$I,2,FALSE)</f>
        <v>#N/A</v>
      </c>
      <c r="R7" t="e">
        <f>VLOOKUP($A7,Helper!$A:$I,3,FALSE)</f>
        <v>#N/A</v>
      </c>
      <c r="S7" t="e">
        <f>VLOOKUP($A7,Helper!$A:$I,4,FALSE)</f>
        <v>#N/A</v>
      </c>
      <c r="T7" t="e">
        <f>VLOOKUP($A7,Helper!$A:$I,5,FALSE)</f>
        <v>#N/A</v>
      </c>
      <c r="U7" t="e">
        <f>VLOOKUP($A7,Helper!$A:$I,6,FALSE)</f>
        <v>#N/A</v>
      </c>
      <c r="V7" t="e">
        <f>VLOOKUP($A7,Helper!$A:$I,7,FALSE)</f>
        <v>#N/A</v>
      </c>
      <c r="W7" t="e">
        <f>VLOOKUP($A7,Helper!$A:$I,8,FALSE)</f>
        <v>#N/A</v>
      </c>
      <c r="X7" t="e">
        <f>VLOOKUP($A7,Helper!$A:$I,9,FALSE)</f>
        <v>#N/A</v>
      </c>
    </row>
    <row r="8" spans="1:24" ht="14.4" customHeight="1" x14ac:dyDescent="0.3">
      <c r="A8" s="1">
        <v>8797264</v>
      </c>
      <c r="B8" s="1" t="s">
        <v>61</v>
      </c>
      <c r="C8" s="1"/>
      <c r="D8" s="1" t="s">
        <v>62</v>
      </c>
      <c r="E8" s="1"/>
      <c r="F8" s="1" t="s">
        <v>63</v>
      </c>
      <c r="G8" s="1"/>
      <c r="H8" s="1" t="s">
        <v>64</v>
      </c>
      <c r="I8" s="1" t="s">
        <v>28</v>
      </c>
      <c r="J8" s="2" t="s">
        <v>65</v>
      </c>
      <c r="K8" s="1"/>
      <c r="L8" s="1"/>
      <c r="M8" s="1"/>
      <c r="N8" s="1"/>
      <c r="O8" s="1" t="s">
        <v>66</v>
      </c>
      <c r="P8" s="1">
        <v>4663111</v>
      </c>
      <c r="Q8" t="e">
        <f>VLOOKUP($A8,Helper!$A:$I,2,FALSE)</f>
        <v>#N/A</v>
      </c>
      <c r="R8" t="e">
        <f>VLOOKUP($A8,Helper!$A:$I,3,FALSE)</f>
        <v>#N/A</v>
      </c>
      <c r="S8" t="e">
        <f>VLOOKUP($A8,Helper!$A:$I,4,FALSE)</f>
        <v>#N/A</v>
      </c>
      <c r="T8" t="e">
        <f>VLOOKUP($A8,Helper!$A:$I,5,FALSE)</f>
        <v>#N/A</v>
      </c>
      <c r="U8" t="e">
        <f>VLOOKUP($A8,Helper!$A:$I,6,FALSE)</f>
        <v>#N/A</v>
      </c>
      <c r="V8" t="e">
        <f>VLOOKUP($A8,Helper!$A:$I,7,FALSE)</f>
        <v>#N/A</v>
      </c>
      <c r="W8" t="e">
        <f>VLOOKUP($A8,Helper!$A:$I,8,FALSE)</f>
        <v>#N/A</v>
      </c>
      <c r="X8" t="e">
        <f>VLOOKUP($A8,Helper!$A:$I,9,FALSE)</f>
        <v>#N/A</v>
      </c>
    </row>
    <row r="9" spans="1:24" ht="14.4" customHeight="1" x14ac:dyDescent="0.3">
      <c r="A9" s="1">
        <v>8886849</v>
      </c>
      <c r="B9" s="1" t="s">
        <v>67</v>
      </c>
      <c r="C9" s="1"/>
      <c r="D9" s="1" t="s">
        <v>68</v>
      </c>
      <c r="E9" s="1"/>
      <c r="F9" s="1" t="s">
        <v>69</v>
      </c>
      <c r="G9" s="1"/>
      <c r="H9" s="1" t="s">
        <v>70</v>
      </c>
      <c r="I9" s="1" t="s">
        <v>28</v>
      </c>
      <c r="J9" s="2" t="s">
        <v>71</v>
      </c>
      <c r="K9" s="1"/>
      <c r="L9" s="1"/>
      <c r="M9" s="1"/>
      <c r="N9" s="1"/>
      <c r="O9" s="1" t="s">
        <v>72</v>
      </c>
      <c r="P9" s="1">
        <v>4723026</v>
      </c>
      <c r="Q9" t="e">
        <f>VLOOKUP($A9,Helper!$A:$I,2,FALSE)</f>
        <v>#N/A</v>
      </c>
      <c r="R9" t="e">
        <f>VLOOKUP($A9,Helper!$A:$I,3,FALSE)</f>
        <v>#N/A</v>
      </c>
      <c r="S9" t="e">
        <f>VLOOKUP($A9,Helper!$A:$I,4,FALSE)</f>
        <v>#N/A</v>
      </c>
      <c r="T9" t="e">
        <f>VLOOKUP($A9,Helper!$A:$I,5,FALSE)</f>
        <v>#N/A</v>
      </c>
      <c r="U9" t="e">
        <f>VLOOKUP($A9,Helper!$A:$I,6,FALSE)</f>
        <v>#N/A</v>
      </c>
      <c r="V9" t="e">
        <f>VLOOKUP($A9,Helper!$A:$I,7,FALSE)</f>
        <v>#N/A</v>
      </c>
      <c r="W9" t="e">
        <f>VLOOKUP($A9,Helper!$A:$I,8,FALSE)</f>
        <v>#N/A</v>
      </c>
      <c r="X9" t="e">
        <f>VLOOKUP($A9,Helper!$A:$I,9,FALSE)</f>
        <v>#N/A</v>
      </c>
    </row>
    <row r="10" spans="1:24" ht="14.4" customHeight="1" x14ac:dyDescent="0.3">
      <c r="A10" s="1">
        <v>14280362</v>
      </c>
      <c r="B10" s="1" t="s">
        <v>73</v>
      </c>
      <c r="C10" s="1"/>
      <c r="D10" s="1" t="s">
        <v>74</v>
      </c>
      <c r="E10" s="1"/>
      <c r="F10" s="1" t="s">
        <v>75</v>
      </c>
      <c r="G10" s="1"/>
      <c r="H10" s="1"/>
      <c r="I10" s="1" t="s">
        <v>28</v>
      </c>
      <c r="J10" s="1"/>
      <c r="K10" s="1"/>
      <c r="L10" s="1"/>
      <c r="M10" s="1" t="s">
        <v>76</v>
      </c>
      <c r="N10" s="1"/>
      <c r="O10" s="1" t="s">
        <v>77</v>
      </c>
      <c r="P10" s="1">
        <v>8536109</v>
      </c>
      <c r="Q10" t="e">
        <f>VLOOKUP($A10,Helper!$A:$I,2,FALSE)</f>
        <v>#N/A</v>
      </c>
      <c r="R10" t="e">
        <f>VLOOKUP($A10,Helper!$A:$I,3,FALSE)</f>
        <v>#N/A</v>
      </c>
      <c r="S10" t="e">
        <f>VLOOKUP($A10,Helper!$A:$I,4,FALSE)</f>
        <v>#N/A</v>
      </c>
      <c r="T10" t="e">
        <f>VLOOKUP($A10,Helper!$A:$I,5,FALSE)</f>
        <v>#N/A</v>
      </c>
      <c r="U10" t="e">
        <f>VLOOKUP($A10,Helper!$A:$I,6,FALSE)</f>
        <v>#N/A</v>
      </c>
      <c r="V10" t="e">
        <f>VLOOKUP($A10,Helper!$A:$I,7,FALSE)</f>
        <v>#N/A</v>
      </c>
      <c r="W10" t="e">
        <f>VLOOKUP($A10,Helper!$A:$I,8,FALSE)</f>
        <v>#N/A</v>
      </c>
      <c r="X10" t="e">
        <f>VLOOKUP($A10,Helper!$A:$I,9,FALSE)</f>
        <v>#N/A</v>
      </c>
    </row>
    <row r="11" spans="1:24" ht="14.4" customHeight="1" x14ac:dyDescent="0.3">
      <c r="A11" s="1">
        <v>14280377</v>
      </c>
      <c r="B11" s="1" t="s">
        <v>78</v>
      </c>
      <c r="C11" s="1" t="s">
        <v>79</v>
      </c>
      <c r="D11" s="1" t="s">
        <v>80</v>
      </c>
      <c r="E11" s="1"/>
      <c r="F11" s="1" t="s">
        <v>81</v>
      </c>
      <c r="G11" s="1"/>
      <c r="H11" s="1" t="s">
        <v>82</v>
      </c>
      <c r="I11" s="1" t="s">
        <v>28</v>
      </c>
      <c r="J11" s="2" t="s">
        <v>83</v>
      </c>
      <c r="K11" s="1"/>
      <c r="L11" s="3">
        <v>27130</v>
      </c>
      <c r="M11" s="1"/>
      <c r="N11" s="1"/>
      <c r="O11" s="1" t="s">
        <v>84</v>
      </c>
      <c r="P11" s="1">
        <v>8536123</v>
      </c>
      <c r="Q11" t="e">
        <f>VLOOKUP($A11,Helper!$A:$I,2,FALSE)</f>
        <v>#N/A</v>
      </c>
      <c r="R11" t="e">
        <f>VLOOKUP($A11,Helper!$A:$I,3,FALSE)</f>
        <v>#N/A</v>
      </c>
      <c r="S11" t="e">
        <f>VLOOKUP($A11,Helper!$A:$I,4,FALSE)</f>
        <v>#N/A</v>
      </c>
      <c r="T11" t="e">
        <f>VLOOKUP($A11,Helper!$A:$I,5,FALSE)</f>
        <v>#N/A</v>
      </c>
      <c r="U11" t="e">
        <f>VLOOKUP($A11,Helper!$A:$I,6,FALSE)</f>
        <v>#N/A</v>
      </c>
      <c r="V11" t="e">
        <f>VLOOKUP($A11,Helper!$A:$I,7,FALSE)</f>
        <v>#N/A</v>
      </c>
      <c r="W11" t="e">
        <f>VLOOKUP($A11,Helper!$A:$I,8,FALSE)</f>
        <v>#N/A</v>
      </c>
      <c r="X11" t="e">
        <f>VLOOKUP($A11,Helper!$A:$I,9,FALSE)</f>
        <v>#N/A</v>
      </c>
    </row>
    <row r="12" spans="1:24" ht="14.4" customHeight="1" x14ac:dyDescent="0.3">
      <c r="A12" s="1">
        <v>14931136</v>
      </c>
      <c r="B12" s="1" t="s">
        <v>85</v>
      </c>
      <c r="C12" s="1"/>
      <c r="D12" s="1" t="s">
        <v>86</v>
      </c>
      <c r="E12" s="1"/>
      <c r="F12" s="1" t="s">
        <v>87</v>
      </c>
      <c r="G12" s="1"/>
      <c r="H12" s="1">
        <v>7345754375</v>
      </c>
      <c r="I12" s="1" t="s">
        <v>28</v>
      </c>
      <c r="J12" s="2" t="s">
        <v>88</v>
      </c>
      <c r="K12" s="1"/>
      <c r="L12" s="1"/>
      <c r="M12" s="1"/>
      <c r="N12" s="1"/>
      <c r="O12" s="1" t="s">
        <v>89</v>
      </c>
      <c r="P12" s="1">
        <v>8907389</v>
      </c>
      <c r="Q12" t="e">
        <f>VLOOKUP($A12,Helper!$A:$I,2,FALSE)</f>
        <v>#N/A</v>
      </c>
      <c r="R12" t="e">
        <f>VLOOKUP($A12,Helper!$A:$I,3,FALSE)</f>
        <v>#N/A</v>
      </c>
      <c r="S12" t="e">
        <f>VLOOKUP($A12,Helper!$A:$I,4,FALSE)</f>
        <v>#N/A</v>
      </c>
      <c r="T12" t="e">
        <f>VLOOKUP($A12,Helper!$A:$I,5,FALSE)</f>
        <v>#N/A</v>
      </c>
      <c r="U12" t="e">
        <f>VLOOKUP($A12,Helper!$A:$I,6,FALSE)</f>
        <v>#N/A</v>
      </c>
      <c r="V12" t="e">
        <f>VLOOKUP($A12,Helper!$A:$I,7,FALSE)</f>
        <v>#N/A</v>
      </c>
      <c r="W12" t="e">
        <f>VLOOKUP($A12,Helper!$A:$I,8,FALSE)</f>
        <v>#N/A</v>
      </c>
      <c r="X12" t="e">
        <f>VLOOKUP($A12,Helper!$A:$I,9,FALSE)</f>
        <v>#N/A</v>
      </c>
    </row>
    <row r="13" spans="1:24" ht="14.4" customHeight="1" x14ac:dyDescent="0.3">
      <c r="A13" s="1">
        <v>15482333</v>
      </c>
      <c r="B13" s="1" t="s">
        <v>90</v>
      </c>
      <c r="C13" s="1" t="s">
        <v>91</v>
      </c>
      <c r="D13" s="1" t="s">
        <v>92</v>
      </c>
      <c r="E13" s="1"/>
      <c r="F13" s="1" t="s">
        <v>93</v>
      </c>
      <c r="G13" s="1"/>
      <c r="H13" s="1">
        <v>11111111111</v>
      </c>
      <c r="I13" s="1" t="s">
        <v>28</v>
      </c>
      <c r="J13" s="2" t="s">
        <v>94</v>
      </c>
      <c r="K13" s="1"/>
      <c r="L13" s="3">
        <v>29271</v>
      </c>
      <c r="M13" s="1"/>
      <c r="N13" s="1"/>
      <c r="O13" s="1" t="s">
        <v>95</v>
      </c>
      <c r="P13" s="1">
        <v>9246182</v>
      </c>
      <c r="Q13" t="e">
        <f>VLOOKUP($A13,Helper!$A:$I,2,FALSE)</f>
        <v>#N/A</v>
      </c>
      <c r="R13" t="e">
        <f>VLOOKUP($A13,Helper!$A:$I,3,FALSE)</f>
        <v>#N/A</v>
      </c>
      <c r="S13" t="e">
        <f>VLOOKUP($A13,Helper!$A:$I,4,FALSE)</f>
        <v>#N/A</v>
      </c>
      <c r="T13" t="e">
        <f>VLOOKUP($A13,Helper!$A:$I,5,FALSE)</f>
        <v>#N/A</v>
      </c>
      <c r="U13" t="e">
        <f>VLOOKUP($A13,Helper!$A:$I,6,FALSE)</f>
        <v>#N/A</v>
      </c>
      <c r="V13" t="e">
        <f>VLOOKUP($A13,Helper!$A:$I,7,FALSE)</f>
        <v>#N/A</v>
      </c>
      <c r="W13" t="e">
        <f>VLOOKUP($A13,Helper!$A:$I,8,FALSE)</f>
        <v>#N/A</v>
      </c>
      <c r="X13" t="e">
        <f>VLOOKUP($A13,Helper!$A:$I,9,FALSE)</f>
        <v>#N/A</v>
      </c>
    </row>
    <row r="14" spans="1:24" ht="14.4" customHeight="1" x14ac:dyDescent="0.3">
      <c r="A14" s="1">
        <v>15603341</v>
      </c>
      <c r="B14" s="1" t="s">
        <v>96</v>
      </c>
      <c r="C14" s="1" t="s">
        <v>97</v>
      </c>
      <c r="D14" s="1" t="s">
        <v>98</v>
      </c>
      <c r="E14" s="1"/>
      <c r="F14" s="1" t="s">
        <v>99</v>
      </c>
      <c r="G14" s="1"/>
      <c r="H14" s="1" t="s">
        <v>100</v>
      </c>
      <c r="I14" s="1" t="s">
        <v>28</v>
      </c>
      <c r="J14" s="2" t="s">
        <v>101</v>
      </c>
      <c r="K14" s="1"/>
      <c r="L14" s="1"/>
      <c r="M14" s="1"/>
      <c r="N14" s="1"/>
      <c r="O14" s="1" t="s">
        <v>102</v>
      </c>
      <c r="P14" s="1">
        <v>9336068</v>
      </c>
      <c r="Q14" t="e">
        <f>VLOOKUP($A14,Helper!$A:$I,2,FALSE)</f>
        <v>#N/A</v>
      </c>
      <c r="R14" t="e">
        <f>VLOOKUP($A14,Helper!$A:$I,3,FALSE)</f>
        <v>#N/A</v>
      </c>
      <c r="S14" t="e">
        <f>VLOOKUP($A14,Helper!$A:$I,4,FALSE)</f>
        <v>#N/A</v>
      </c>
      <c r="T14" t="e">
        <f>VLOOKUP($A14,Helper!$A:$I,5,FALSE)</f>
        <v>#N/A</v>
      </c>
      <c r="U14" t="e">
        <f>VLOOKUP($A14,Helper!$A:$I,6,FALSE)</f>
        <v>#N/A</v>
      </c>
      <c r="V14" t="e">
        <f>VLOOKUP($A14,Helper!$A:$I,7,FALSE)</f>
        <v>#N/A</v>
      </c>
      <c r="W14" t="e">
        <f>VLOOKUP($A14,Helper!$A:$I,8,FALSE)</f>
        <v>#N/A</v>
      </c>
      <c r="X14" t="e">
        <f>VLOOKUP($A14,Helper!$A:$I,9,FALSE)</f>
        <v>#N/A</v>
      </c>
    </row>
    <row r="15" spans="1:24" ht="14.4" customHeight="1" x14ac:dyDescent="0.3">
      <c r="A15" s="1">
        <v>15703531</v>
      </c>
      <c r="B15" s="1" t="s">
        <v>103</v>
      </c>
      <c r="C15" s="1"/>
      <c r="D15" s="1" t="s">
        <v>104</v>
      </c>
      <c r="E15" s="1"/>
      <c r="F15" s="1" t="s">
        <v>105</v>
      </c>
      <c r="G15" s="1"/>
      <c r="H15" s="1" t="s">
        <v>106</v>
      </c>
      <c r="I15" s="1" t="s">
        <v>28</v>
      </c>
      <c r="J15" s="2" t="s">
        <v>107</v>
      </c>
      <c r="K15" s="1"/>
      <c r="L15" s="1"/>
      <c r="M15" s="1"/>
      <c r="N15" s="1"/>
      <c r="O15" s="1" t="s">
        <v>108</v>
      </c>
      <c r="P15" s="1">
        <v>9416495</v>
      </c>
      <c r="Q15" t="e">
        <f>VLOOKUP($A15,Helper!$A:$I,2,FALSE)</f>
        <v>#N/A</v>
      </c>
      <c r="R15" t="e">
        <f>VLOOKUP($A15,Helper!$A:$I,3,FALSE)</f>
        <v>#N/A</v>
      </c>
      <c r="S15" t="e">
        <f>VLOOKUP($A15,Helper!$A:$I,4,FALSE)</f>
        <v>#N/A</v>
      </c>
      <c r="T15" t="e">
        <f>VLOOKUP($A15,Helper!$A:$I,5,FALSE)</f>
        <v>#N/A</v>
      </c>
      <c r="U15" t="e">
        <f>VLOOKUP($A15,Helper!$A:$I,6,FALSE)</f>
        <v>#N/A</v>
      </c>
      <c r="V15" t="e">
        <f>VLOOKUP($A15,Helper!$A:$I,7,FALSE)</f>
        <v>#N/A</v>
      </c>
      <c r="W15" t="e">
        <f>VLOOKUP($A15,Helper!$A:$I,8,FALSE)</f>
        <v>#N/A</v>
      </c>
      <c r="X15" t="e">
        <f>VLOOKUP($A15,Helper!$A:$I,9,FALSE)</f>
        <v>#N/A</v>
      </c>
    </row>
    <row r="16" spans="1:24" ht="14.4" customHeight="1" x14ac:dyDescent="0.3">
      <c r="A16" s="1">
        <v>16193894</v>
      </c>
      <c r="B16" s="1" t="s">
        <v>109</v>
      </c>
      <c r="C16" s="1" t="s">
        <v>110</v>
      </c>
      <c r="D16" s="1" t="s">
        <v>111</v>
      </c>
      <c r="E16" s="1"/>
      <c r="F16" s="1" t="s">
        <v>112</v>
      </c>
      <c r="G16" s="1"/>
      <c r="H16" s="1"/>
      <c r="I16" s="1" t="s">
        <v>28</v>
      </c>
      <c r="J16" s="2" t="s">
        <v>113</v>
      </c>
      <c r="K16" s="1"/>
      <c r="L16" s="3">
        <v>35057</v>
      </c>
      <c r="M16" s="1"/>
      <c r="N16" s="1"/>
      <c r="O16" s="1" t="s">
        <v>114</v>
      </c>
      <c r="P16" s="1">
        <v>9755543</v>
      </c>
      <c r="Q16" t="e">
        <f>VLOOKUP($A16,Helper!$A:$I,2,FALSE)</f>
        <v>#N/A</v>
      </c>
      <c r="R16" t="e">
        <f>VLOOKUP($A16,Helper!$A:$I,3,FALSE)</f>
        <v>#N/A</v>
      </c>
      <c r="S16" t="e">
        <f>VLOOKUP($A16,Helper!$A:$I,4,FALSE)</f>
        <v>#N/A</v>
      </c>
      <c r="T16" t="e">
        <f>VLOOKUP($A16,Helper!$A:$I,5,FALSE)</f>
        <v>#N/A</v>
      </c>
      <c r="U16" t="e">
        <f>VLOOKUP($A16,Helper!$A:$I,6,FALSE)</f>
        <v>#N/A</v>
      </c>
      <c r="V16" t="e">
        <f>VLOOKUP($A16,Helper!$A:$I,7,FALSE)</f>
        <v>#N/A</v>
      </c>
      <c r="W16" t="e">
        <f>VLOOKUP($A16,Helper!$A:$I,8,FALSE)</f>
        <v>#N/A</v>
      </c>
      <c r="X16" t="e">
        <f>VLOOKUP($A16,Helper!$A:$I,9,FALSE)</f>
        <v>#N/A</v>
      </c>
    </row>
    <row r="17" spans="1:24" ht="14.4" customHeight="1" x14ac:dyDescent="0.3">
      <c r="A17" s="1">
        <v>16438810</v>
      </c>
      <c r="B17" s="1" t="s">
        <v>115</v>
      </c>
      <c r="C17" s="1" t="s">
        <v>116</v>
      </c>
      <c r="D17" s="1" t="s">
        <v>117</v>
      </c>
      <c r="E17" s="1"/>
      <c r="F17" s="1" t="s">
        <v>118</v>
      </c>
      <c r="G17" s="1"/>
      <c r="H17" s="1" t="s">
        <v>119</v>
      </c>
      <c r="I17" s="1" t="s">
        <v>28</v>
      </c>
      <c r="J17" s="2" t="s">
        <v>120</v>
      </c>
      <c r="K17" s="1"/>
      <c r="L17" s="1"/>
      <c r="M17" s="1"/>
      <c r="N17" s="1"/>
      <c r="O17" s="1" t="s">
        <v>121</v>
      </c>
      <c r="P17" s="1">
        <v>9928699</v>
      </c>
      <c r="Q17" t="e">
        <f>VLOOKUP($A17,Helper!$A:$I,2,FALSE)</f>
        <v>#N/A</v>
      </c>
      <c r="R17" t="e">
        <f>VLOOKUP($A17,Helper!$A:$I,3,FALSE)</f>
        <v>#N/A</v>
      </c>
      <c r="S17" t="e">
        <f>VLOOKUP($A17,Helper!$A:$I,4,FALSE)</f>
        <v>#N/A</v>
      </c>
      <c r="T17" t="e">
        <f>VLOOKUP($A17,Helper!$A:$I,5,FALSE)</f>
        <v>#N/A</v>
      </c>
      <c r="U17" t="e">
        <f>VLOOKUP($A17,Helper!$A:$I,6,FALSE)</f>
        <v>#N/A</v>
      </c>
      <c r="V17" t="e">
        <f>VLOOKUP($A17,Helper!$A:$I,7,FALSE)</f>
        <v>#N/A</v>
      </c>
      <c r="W17" t="e">
        <f>VLOOKUP($A17,Helper!$A:$I,8,FALSE)</f>
        <v>#N/A</v>
      </c>
      <c r="X17" t="e">
        <f>VLOOKUP($A17,Helper!$A:$I,9,FALSE)</f>
        <v>#N/A</v>
      </c>
    </row>
    <row r="18" spans="1:24" ht="14.4" customHeight="1" x14ac:dyDescent="0.3">
      <c r="A18" s="1">
        <v>16480369</v>
      </c>
      <c r="B18" s="1" t="s">
        <v>122</v>
      </c>
      <c r="C18" s="1"/>
      <c r="D18" s="1" t="s">
        <v>123</v>
      </c>
      <c r="E18" s="1"/>
      <c r="F18" s="1" t="s">
        <v>124</v>
      </c>
      <c r="G18" s="1"/>
      <c r="H18" s="1" t="s">
        <v>125</v>
      </c>
      <c r="I18" s="1" t="s">
        <v>28</v>
      </c>
      <c r="J18" s="1"/>
      <c r="K18" s="1"/>
      <c r="L18" s="3">
        <v>24016</v>
      </c>
      <c r="M18" s="1"/>
      <c r="N18" s="1"/>
      <c r="O18" s="1" t="s">
        <v>126</v>
      </c>
      <c r="P18" s="1">
        <v>9953780</v>
      </c>
      <c r="Q18" t="e">
        <f>VLOOKUP($A18,Helper!$A:$I,2,FALSE)</f>
        <v>#N/A</v>
      </c>
      <c r="R18" t="e">
        <f>VLOOKUP($A18,Helper!$A:$I,3,FALSE)</f>
        <v>#N/A</v>
      </c>
      <c r="S18" t="e">
        <f>VLOOKUP($A18,Helper!$A:$I,4,FALSE)</f>
        <v>#N/A</v>
      </c>
      <c r="T18" t="e">
        <f>VLOOKUP($A18,Helper!$A:$I,5,FALSE)</f>
        <v>#N/A</v>
      </c>
      <c r="U18" t="e">
        <f>VLOOKUP($A18,Helper!$A:$I,6,FALSE)</f>
        <v>#N/A</v>
      </c>
      <c r="V18" t="e">
        <f>VLOOKUP($A18,Helper!$A:$I,7,FALSE)</f>
        <v>#N/A</v>
      </c>
      <c r="W18" t="e">
        <f>VLOOKUP($A18,Helper!$A:$I,8,FALSE)</f>
        <v>#N/A</v>
      </c>
      <c r="X18" t="e">
        <f>VLOOKUP($A18,Helper!$A:$I,9,FALSE)</f>
        <v>#N/A</v>
      </c>
    </row>
    <row r="19" spans="1:24" ht="14.4" customHeight="1" x14ac:dyDescent="0.3">
      <c r="A19" s="1">
        <v>17820681</v>
      </c>
      <c r="B19" s="1" t="s">
        <v>127</v>
      </c>
      <c r="C19" s="1" t="s">
        <v>128</v>
      </c>
      <c r="D19" s="1" t="s">
        <v>129</v>
      </c>
      <c r="E19" s="1"/>
      <c r="F19" s="1" t="s">
        <v>130</v>
      </c>
      <c r="G19" s="1"/>
      <c r="H19" s="1"/>
      <c r="I19" s="1" t="s">
        <v>28</v>
      </c>
      <c r="J19" s="2" t="s">
        <v>131</v>
      </c>
      <c r="K19" s="1"/>
      <c r="L19" s="1"/>
      <c r="M19" s="1"/>
      <c r="N19" s="1"/>
      <c r="O19" s="1" t="s">
        <v>132</v>
      </c>
      <c r="P19" s="1">
        <v>10759701</v>
      </c>
      <c r="Q19" t="e">
        <f>VLOOKUP($A19,Helper!$A:$I,2,FALSE)</f>
        <v>#N/A</v>
      </c>
      <c r="R19" t="e">
        <f>VLOOKUP($A19,Helper!$A:$I,3,FALSE)</f>
        <v>#N/A</v>
      </c>
      <c r="S19" t="e">
        <f>VLOOKUP($A19,Helper!$A:$I,4,FALSE)</f>
        <v>#N/A</v>
      </c>
      <c r="T19" t="e">
        <f>VLOOKUP($A19,Helper!$A:$I,5,FALSE)</f>
        <v>#N/A</v>
      </c>
      <c r="U19" t="e">
        <f>VLOOKUP($A19,Helper!$A:$I,6,FALSE)</f>
        <v>#N/A</v>
      </c>
      <c r="V19" t="e">
        <f>VLOOKUP($A19,Helper!$A:$I,7,FALSE)</f>
        <v>#N/A</v>
      </c>
      <c r="W19" t="e">
        <f>VLOOKUP($A19,Helper!$A:$I,8,FALSE)</f>
        <v>#N/A</v>
      </c>
      <c r="X19" t="e">
        <f>VLOOKUP($A19,Helper!$A:$I,9,FALSE)</f>
        <v>#N/A</v>
      </c>
    </row>
    <row r="21" spans="1:24" ht="15.75" customHeight="1" x14ac:dyDescent="0.3"/>
    <row r="22" spans="1:24" ht="15.75" customHeight="1" x14ac:dyDescent="0.3"/>
    <row r="23" spans="1:24" ht="15.75" customHeight="1" x14ac:dyDescent="0.3"/>
    <row r="24" spans="1:24" ht="15.75" customHeight="1" x14ac:dyDescent="0.3"/>
    <row r="25" spans="1:24" ht="15.75" customHeight="1" x14ac:dyDescent="0.3"/>
    <row r="26" spans="1:24" ht="15.75" customHeight="1" x14ac:dyDescent="0.3"/>
    <row r="27" spans="1:24" ht="15.75" customHeight="1" x14ac:dyDescent="0.3"/>
    <row r="28" spans="1:24" ht="15.75" customHeight="1" x14ac:dyDescent="0.3"/>
    <row r="29" spans="1:24" ht="15.75" customHeight="1" x14ac:dyDescent="0.3"/>
    <row r="30" spans="1:24" ht="15.75" customHeight="1" x14ac:dyDescent="0.3"/>
    <row r="31" spans="1:24" ht="15.75" customHeight="1" x14ac:dyDescent="0.3"/>
    <row r="32" spans="1:2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1" r:id="rId8" xr:uid="{00000000-0004-0000-0000-000007000000}"/>
    <hyperlink ref="J12" r:id="rId9" xr:uid="{00000000-0004-0000-0000-000008000000}"/>
    <hyperlink ref="J13" r:id="rId10" xr:uid="{00000000-0004-0000-0000-000009000000}"/>
    <hyperlink ref="J14" r:id="rId11" xr:uid="{00000000-0004-0000-0000-00000A000000}"/>
    <hyperlink ref="J15" r:id="rId12" xr:uid="{00000000-0004-0000-0000-00000B000000}"/>
    <hyperlink ref="J16" r:id="rId13" xr:uid="{00000000-0004-0000-0000-00000C000000}"/>
    <hyperlink ref="J17" r:id="rId14" xr:uid="{00000000-0004-0000-0000-00000D000000}"/>
    <hyperlink ref="J19" r:id="rId15" xr:uid="{00000000-0004-0000-0000-00000E000000}"/>
  </hyperlinks>
  <pageMargins left="0.7" right="0.7" top="0.75" bottom="0.75" header="0" footer="0"/>
  <pageSetup orientation="landscape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G1" workbookViewId="0">
      <selection activeCell="E2" sqref="E2"/>
    </sheetView>
  </sheetViews>
  <sheetFormatPr defaultColWidth="12.6640625" defaultRowHeight="15" customHeight="1" x14ac:dyDescent="0.3"/>
  <cols>
    <col min="1" max="1" width="9" bestFit="1" customWidth="1"/>
    <col min="2" max="4" width="8.6640625" customWidth="1"/>
    <col min="5" max="5" width="24.6640625" customWidth="1"/>
    <col min="6" max="6" width="8.6640625" customWidth="1"/>
    <col min="7" max="7" width="36.33203125" customWidth="1"/>
    <col min="8" max="8" width="24.77734375" customWidth="1"/>
    <col min="9" max="9" width="13" customWidth="1"/>
    <col min="10" max="17" width="8.6640625" customWidth="1"/>
    <col min="18" max="18" width="10.33203125" customWidth="1"/>
    <col min="19" max="20" width="8.6640625" customWidth="1"/>
    <col min="21" max="21" width="35.21875" customWidth="1"/>
    <col min="22" max="26" width="8.6640625" customWidth="1"/>
  </cols>
  <sheetData>
    <row r="1" spans="1:22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4</v>
      </c>
      <c r="G1" s="1" t="s">
        <v>5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134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 ht="14.4" customHeight="1" x14ac:dyDescent="0.3">
      <c r="A2" s="1">
        <v>7398191</v>
      </c>
      <c r="B2" s="1" t="s">
        <v>24</v>
      </c>
      <c r="C2" s="1" t="s">
        <v>25</v>
      </c>
      <c r="D2" s="1" t="s">
        <v>26</v>
      </c>
      <c r="E2" s="1" t="s">
        <v>135</v>
      </c>
      <c r="F2" s="1"/>
      <c r="G2" s="1" t="s">
        <v>27</v>
      </c>
      <c r="H2" s="3"/>
      <c r="I2" s="1"/>
      <c r="J2" s="1"/>
      <c r="K2" s="1"/>
      <c r="L2" s="1"/>
      <c r="M2" s="1"/>
      <c r="N2" s="1"/>
      <c r="O2" s="1" t="s">
        <v>28</v>
      </c>
      <c r="P2" s="1"/>
      <c r="Q2" s="1"/>
      <c r="R2" s="4"/>
      <c r="S2" s="1"/>
      <c r="T2" s="1"/>
      <c r="U2" s="1" t="s">
        <v>136</v>
      </c>
      <c r="V2" s="1">
        <v>3783285</v>
      </c>
    </row>
    <row r="3" spans="1:22" ht="14.4" customHeight="1" x14ac:dyDescent="0.3">
      <c r="A3" s="1">
        <v>7439820</v>
      </c>
      <c r="B3" s="1" t="s">
        <v>30</v>
      </c>
      <c r="C3" s="1" t="s">
        <v>31</v>
      </c>
      <c r="D3" s="1" t="s">
        <v>32</v>
      </c>
      <c r="E3" s="1" t="s">
        <v>137</v>
      </c>
      <c r="F3" s="1"/>
      <c r="G3" s="1" t="s">
        <v>33</v>
      </c>
      <c r="H3" s="3" t="s">
        <v>138</v>
      </c>
      <c r="I3" s="1" t="s">
        <v>139</v>
      </c>
      <c r="J3" s="1" t="s">
        <v>140</v>
      </c>
      <c r="K3" s="1" t="s">
        <v>141</v>
      </c>
      <c r="L3" s="1">
        <v>11111</v>
      </c>
      <c r="M3" s="1"/>
      <c r="N3" s="1" t="s">
        <v>34</v>
      </c>
      <c r="O3" s="1" t="s">
        <v>28</v>
      </c>
      <c r="P3" s="2" t="s">
        <v>35</v>
      </c>
      <c r="Q3" s="1"/>
      <c r="R3" s="4"/>
      <c r="S3" s="1"/>
      <c r="T3" s="1"/>
      <c r="U3" s="1" t="s">
        <v>142</v>
      </c>
      <c r="V3" s="1">
        <v>3810123</v>
      </c>
    </row>
    <row r="4" spans="1:22" ht="14.4" customHeight="1" x14ac:dyDescent="0.3">
      <c r="A4" s="1">
        <v>7451828</v>
      </c>
      <c r="B4" s="1" t="s">
        <v>37</v>
      </c>
      <c r="C4" s="1" t="s">
        <v>27</v>
      </c>
      <c r="D4" s="1" t="s">
        <v>38</v>
      </c>
      <c r="E4" s="1" t="s">
        <v>143</v>
      </c>
      <c r="F4" s="1"/>
      <c r="G4" s="1" t="s">
        <v>27</v>
      </c>
      <c r="H4" s="3"/>
      <c r="I4" s="1"/>
      <c r="J4" s="1"/>
      <c r="K4" s="1"/>
      <c r="L4" s="1"/>
      <c r="M4" s="1"/>
      <c r="N4" s="1"/>
      <c r="O4" s="1" t="s">
        <v>28</v>
      </c>
      <c r="P4" s="2" t="s">
        <v>39</v>
      </c>
      <c r="Q4" s="1"/>
      <c r="R4" s="4"/>
      <c r="S4" s="1"/>
      <c r="T4" s="1"/>
      <c r="U4" s="1" t="s">
        <v>144</v>
      </c>
      <c r="V4" s="1">
        <v>3820215</v>
      </c>
    </row>
    <row r="5" spans="1:22" ht="14.4" customHeight="1" x14ac:dyDescent="0.3">
      <c r="A5" s="1">
        <v>7871642</v>
      </c>
      <c r="B5" s="1" t="s">
        <v>41</v>
      </c>
      <c r="C5" s="1" t="s">
        <v>42</v>
      </c>
      <c r="D5" s="1" t="s">
        <v>43</v>
      </c>
      <c r="E5" s="1" t="s">
        <v>145</v>
      </c>
      <c r="F5" s="1"/>
      <c r="G5" s="1" t="s">
        <v>44</v>
      </c>
      <c r="H5" s="3" t="s">
        <v>146</v>
      </c>
      <c r="I5" s="1" t="s">
        <v>147</v>
      </c>
      <c r="J5" s="1" t="s">
        <v>148</v>
      </c>
      <c r="K5" s="1" t="s">
        <v>149</v>
      </c>
      <c r="L5" s="1">
        <v>11111</v>
      </c>
      <c r="M5" s="1"/>
      <c r="N5" s="1" t="s">
        <v>45</v>
      </c>
      <c r="O5" s="1" t="s">
        <v>28</v>
      </c>
      <c r="P5" s="2" t="s">
        <v>46</v>
      </c>
      <c r="Q5" s="1"/>
      <c r="R5" s="4"/>
      <c r="S5" s="1"/>
      <c r="T5" s="1"/>
      <c r="U5" s="1" t="s">
        <v>47</v>
      </c>
      <c r="V5" s="1">
        <v>4066854</v>
      </c>
    </row>
    <row r="6" spans="1:22" ht="14.4" customHeight="1" x14ac:dyDescent="0.3">
      <c r="A6" s="1">
        <v>8004314</v>
      </c>
      <c r="B6" s="1" t="s">
        <v>48</v>
      </c>
      <c r="C6" s="1"/>
      <c r="D6" s="1" t="s">
        <v>49</v>
      </c>
      <c r="E6" s="1" t="s">
        <v>150</v>
      </c>
      <c r="F6" s="1"/>
      <c r="G6" s="1" t="s">
        <v>50</v>
      </c>
      <c r="H6" s="3" t="s">
        <v>151</v>
      </c>
      <c r="I6" s="1"/>
      <c r="J6" s="1" t="s">
        <v>152</v>
      </c>
      <c r="K6" s="1" t="s">
        <v>153</v>
      </c>
      <c r="L6" s="1">
        <v>11111</v>
      </c>
      <c r="M6" s="1"/>
      <c r="N6" s="1"/>
      <c r="O6" s="1" t="s">
        <v>28</v>
      </c>
      <c r="P6" s="2" t="s">
        <v>51</v>
      </c>
      <c r="Q6" s="1"/>
      <c r="R6" s="4">
        <v>31648</v>
      </c>
      <c r="S6" s="1"/>
      <c r="T6" s="1" t="s">
        <v>52</v>
      </c>
      <c r="U6" s="1" t="s">
        <v>154</v>
      </c>
      <c r="V6" s="1">
        <v>4134776</v>
      </c>
    </row>
    <row r="7" spans="1:22" ht="14.4" customHeight="1" x14ac:dyDescent="0.3">
      <c r="A7" s="1">
        <v>8393082</v>
      </c>
      <c r="B7" s="1" t="s">
        <v>54</v>
      </c>
      <c r="C7" s="1" t="s">
        <v>55</v>
      </c>
      <c r="D7" s="1" t="s">
        <v>56</v>
      </c>
      <c r="E7" s="1" t="s">
        <v>155</v>
      </c>
      <c r="F7" s="1"/>
      <c r="G7" s="1" t="s">
        <v>57</v>
      </c>
      <c r="H7" s="3" t="s">
        <v>156</v>
      </c>
      <c r="I7" s="1"/>
      <c r="J7" s="1" t="s">
        <v>157</v>
      </c>
      <c r="K7" s="1" t="s">
        <v>158</v>
      </c>
      <c r="L7" s="1">
        <v>11111</v>
      </c>
      <c r="M7" s="1"/>
      <c r="N7" s="1" t="s">
        <v>58</v>
      </c>
      <c r="O7" s="1" t="s">
        <v>28</v>
      </c>
      <c r="P7" s="2" t="s">
        <v>59</v>
      </c>
      <c r="Q7" s="1"/>
      <c r="R7" s="4"/>
      <c r="S7" s="1"/>
      <c r="T7" s="1"/>
      <c r="U7" s="1" t="s">
        <v>159</v>
      </c>
      <c r="V7" s="1">
        <v>4411263</v>
      </c>
    </row>
    <row r="8" spans="1:22" ht="14.4" customHeight="1" x14ac:dyDescent="0.3">
      <c r="A8" s="1">
        <v>8797264</v>
      </c>
      <c r="B8" s="1" t="s">
        <v>61</v>
      </c>
      <c r="C8" s="1"/>
      <c r="D8" s="1" t="s">
        <v>62</v>
      </c>
      <c r="E8" s="1" t="s">
        <v>160</v>
      </c>
      <c r="F8" s="1"/>
      <c r="G8" s="1" t="s">
        <v>63</v>
      </c>
      <c r="H8" s="3" t="s">
        <v>161</v>
      </c>
      <c r="I8" s="1" t="s">
        <v>162</v>
      </c>
      <c r="J8" s="1" t="s">
        <v>163</v>
      </c>
      <c r="K8" s="1" t="s">
        <v>164</v>
      </c>
      <c r="L8" s="1">
        <v>11111</v>
      </c>
      <c r="M8" s="1"/>
      <c r="N8" s="1" t="s">
        <v>64</v>
      </c>
      <c r="O8" s="1" t="s">
        <v>28</v>
      </c>
      <c r="P8" s="2" t="s">
        <v>65</v>
      </c>
      <c r="Q8" s="1"/>
      <c r="R8" s="4"/>
      <c r="S8" s="1"/>
      <c r="T8" s="1"/>
      <c r="U8" s="1" t="s">
        <v>66</v>
      </c>
      <c r="V8" s="1">
        <v>4663111</v>
      </c>
    </row>
    <row r="9" spans="1:22" ht="14.4" customHeight="1" x14ac:dyDescent="0.3">
      <c r="A9" s="1">
        <v>8886849</v>
      </c>
      <c r="B9" s="1" t="s">
        <v>67</v>
      </c>
      <c r="C9" s="1"/>
      <c r="D9" s="1" t="s">
        <v>68</v>
      </c>
      <c r="E9" s="1" t="s">
        <v>165</v>
      </c>
      <c r="F9" s="1"/>
      <c r="G9" s="1" t="s">
        <v>69</v>
      </c>
      <c r="H9" s="3" t="s">
        <v>166</v>
      </c>
      <c r="I9" s="1" t="s">
        <v>167</v>
      </c>
      <c r="J9" s="1" t="s">
        <v>168</v>
      </c>
      <c r="K9" s="1" t="s">
        <v>169</v>
      </c>
      <c r="L9" s="1">
        <v>11111</v>
      </c>
      <c r="M9" s="1"/>
      <c r="N9" s="1" t="s">
        <v>70</v>
      </c>
      <c r="O9" s="1" t="s">
        <v>28</v>
      </c>
      <c r="P9" s="2" t="s">
        <v>71</v>
      </c>
      <c r="Q9" s="1"/>
      <c r="R9" s="4"/>
      <c r="S9" s="1"/>
      <c r="T9" s="1"/>
      <c r="U9" s="1" t="s">
        <v>170</v>
      </c>
      <c r="V9" s="1">
        <v>4723026</v>
      </c>
    </row>
    <row r="10" spans="1:22" ht="14.4" customHeight="1" x14ac:dyDescent="0.3">
      <c r="A10" s="1">
        <v>14280362</v>
      </c>
      <c r="B10" s="1" t="s">
        <v>73</v>
      </c>
      <c r="C10" s="1"/>
      <c r="D10" s="1" t="s">
        <v>74</v>
      </c>
      <c r="E10" s="1" t="s">
        <v>171</v>
      </c>
      <c r="F10" s="1"/>
      <c r="G10" s="1" t="s">
        <v>75</v>
      </c>
      <c r="H10" s="3" t="s">
        <v>172</v>
      </c>
      <c r="I10" s="1"/>
      <c r="J10" s="1" t="s">
        <v>173</v>
      </c>
      <c r="K10" s="1" t="s">
        <v>174</v>
      </c>
      <c r="L10" s="1">
        <v>11111</v>
      </c>
      <c r="M10" s="1"/>
      <c r="N10" s="1"/>
      <c r="O10" s="1" t="s">
        <v>28</v>
      </c>
      <c r="P10" s="1"/>
      <c r="Q10" s="1"/>
      <c r="R10" s="4"/>
      <c r="S10" s="1" t="s">
        <v>76</v>
      </c>
      <c r="T10" s="1"/>
      <c r="U10" s="1" t="s">
        <v>175</v>
      </c>
      <c r="V10" s="1">
        <v>8536109</v>
      </c>
    </row>
    <row r="11" spans="1:22" ht="14.4" customHeight="1" x14ac:dyDescent="0.3">
      <c r="A11" s="1">
        <v>14280377</v>
      </c>
      <c r="B11" s="1" t="s">
        <v>78</v>
      </c>
      <c r="C11" s="1" t="s">
        <v>79</v>
      </c>
      <c r="D11" s="1" t="s">
        <v>80</v>
      </c>
      <c r="E11" s="1" t="s">
        <v>176</v>
      </c>
      <c r="F11" s="1"/>
      <c r="G11" s="1" t="s">
        <v>81</v>
      </c>
      <c r="H11" s="3" t="s">
        <v>177</v>
      </c>
      <c r="I11" s="1" t="s">
        <v>178</v>
      </c>
      <c r="J11" s="1" t="s">
        <v>179</v>
      </c>
      <c r="K11" s="1" t="s">
        <v>180</v>
      </c>
      <c r="L11" s="1">
        <v>11111</v>
      </c>
      <c r="M11" s="1"/>
      <c r="N11" s="1" t="s">
        <v>82</v>
      </c>
      <c r="O11" s="1" t="s">
        <v>28</v>
      </c>
      <c r="P11" s="2" t="s">
        <v>83</v>
      </c>
      <c r="Q11" s="1"/>
      <c r="R11" s="4">
        <v>27130</v>
      </c>
      <c r="S11" s="1"/>
      <c r="T11" s="1"/>
      <c r="U11" s="1" t="s">
        <v>181</v>
      </c>
      <c r="V11" s="1">
        <v>8536123</v>
      </c>
    </row>
    <row r="12" spans="1:22" ht="14.4" customHeight="1" x14ac:dyDescent="0.3">
      <c r="A12" s="1">
        <v>14931136</v>
      </c>
      <c r="B12" s="1" t="s">
        <v>85</v>
      </c>
      <c r="C12" s="1"/>
      <c r="D12" s="1" t="s">
        <v>86</v>
      </c>
      <c r="E12" s="1" t="s">
        <v>182</v>
      </c>
      <c r="F12" s="1"/>
      <c r="G12" s="1" t="s">
        <v>87</v>
      </c>
      <c r="H12" s="3" t="s">
        <v>183</v>
      </c>
      <c r="I12" s="1"/>
      <c r="J12" s="1" t="s">
        <v>184</v>
      </c>
      <c r="K12" s="1" t="s">
        <v>185</v>
      </c>
      <c r="L12" s="1">
        <v>11111</v>
      </c>
      <c r="M12" s="1"/>
      <c r="N12" s="1">
        <v>7345754375</v>
      </c>
      <c r="O12" s="1" t="s">
        <v>28</v>
      </c>
      <c r="P12" s="2" t="s">
        <v>88</v>
      </c>
      <c r="Q12" s="1"/>
      <c r="R12" s="4"/>
      <c r="S12" s="1"/>
      <c r="T12" s="1"/>
      <c r="U12" s="1" t="s">
        <v>186</v>
      </c>
      <c r="V12" s="1">
        <v>8907389</v>
      </c>
    </row>
    <row r="13" spans="1:22" ht="14.4" customHeight="1" x14ac:dyDescent="0.3">
      <c r="A13" s="1">
        <v>15482333</v>
      </c>
      <c r="B13" s="1" t="s">
        <v>90</v>
      </c>
      <c r="C13" s="1" t="s">
        <v>91</v>
      </c>
      <c r="D13" s="1" t="s">
        <v>92</v>
      </c>
      <c r="E13" s="1" t="s">
        <v>187</v>
      </c>
      <c r="F13" s="1"/>
      <c r="G13" s="1" t="s">
        <v>93</v>
      </c>
      <c r="H13" s="3" t="s">
        <v>188</v>
      </c>
      <c r="I13" s="1" t="s">
        <v>189</v>
      </c>
      <c r="J13" s="1" t="s">
        <v>190</v>
      </c>
      <c r="K13" s="1" t="s">
        <v>191</v>
      </c>
      <c r="L13" s="1">
        <v>11111</v>
      </c>
      <c r="M13" s="1"/>
      <c r="N13" s="1">
        <v>11111111111</v>
      </c>
      <c r="O13" s="1" t="s">
        <v>28</v>
      </c>
      <c r="P13" s="2" t="s">
        <v>94</v>
      </c>
      <c r="Q13" s="1"/>
      <c r="R13" s="4">
        <v>29271</v>
      </c>
      <c r="S13" s="1"/>
      <c r="T13" s="1"/>
      <c r="U13" s="1" t="s">
        <v>95</v>
      </c>
      <c r="V13" s="1">
        <v>9246182</v>
      </c>
    </row>
    <row r="14" spans="1:22" ht="14.4" customHeight="1" x14ac:dyDescent="0.3">
      <c r="A14" s="1">
        <v>15603341</v>
      </c>
      <c r="B14" s="1" t="s">
        <v>96</v>
      </c>
      <c r="C14" s="1" t="s">
        <v>97</v>
      </c>
      <c r="D14" s="1" t="s">
        <v>98</v>
      </c>
      <c r="E14" s="1" t="s">
        <v>192</v>
      </c>
      <c r="F14" s="1"/>
      <c r="G14" s="1" t="s">
        <v>99</v>
      </c>
      <c r="H14" s="3" t="s">
        <v>193</v>
      </c>
      <c r="I14" s="1" t="s">
        <v>194</v>
      </c>
      <c r="J14" s="1" t="s">
        <v>195</v>
      </c>
      <c r="K14" s="1" t="s">
        <v>196</v>
      </c>
      <c r="L14" s="1">
        <v>11111</v>
      </c>
      <c r="M14" s="1"/>
      <c r="N14" s="1" t="s">
        <v>100</v>
      </c>
      <c r="O14" s="1" t="s">
        <v>28</v>
      </c>
      <c r="P14" s="2" t="s">
        <v>101</v>
      </c>
      <c r="Q14" s="1"/>
      <c r="R14" s="4"/>
      <c r="S14" s="1"/>
      <c r="T14" s="1"/>
      <c r="U14" s="1" t="s">
        <v>102</v>
      </c>
      <c r="V14" s="1">
        <v>9336068</v>
      </c>
    </row>
    <row r="15" spans="1:22" ht="14.4" customHeight="1" x14ac:dyDescent="0.3">
      <c r="A15" s="1">
        <v>15703531</v>
      </c>
      <c r="B15" s="1" t="s">
        <v>103</v>
      </c>
      <c r="C15" s="1"/>
      <c r="D15" s="1" t="s">
        <v>104</v>
      </c>
      <c r="E15" s="1" t="s">
        <v>197</v>
      </c>
      <c r="F15" s="1"/>
      <c r="G15" s="1" t="s">
        <v>105</v>
      </c>
      <c r="H15" s="3" t="s">
        <v>198</v>
      </c>
      <c r="I15" s="1" t="s">
        <v>199</v>
      </c>
      <c r="J15" s="1" t="s">
        <v>200</v>
      </c>
      <c r="K15" s="1" t="s">
        <v>201</v>
      </c>
      <c r="L15" s="1">
        <v>11111</v>
      </c>
      <c r="M15" s="1"/>
      <c r="N15" s="1" t="s">
        <v>106</v>
      </c>
      <c r="O15" s="1" t="s">
        <v>28</v>
      </c>
      <c r="P15" s="2" t="s">
        <v>107</v>
      </c>
      <c r="Q15" s="1"/>
      <c r="R15" s="4"/>
      <c r="S15" s="1"/>
      <c r="T15" s="1"/>
      <c r="U15" s="1" t="s">
        <v>202</v>
      </c>
      <c r="V15" s="1">
        <v>9416495</v>
      </c>
    </row>
    <row r="16" spans="1:22" ht="14.4" customHeight="1" x14ac:dyDescent="0.3">
      <c r="A16" s="1">
        <v>16193894</v>
      </c>
      <c r="B16" s="1" t="s">
        <v>109</v>
      </c>
      <c r="C16" s="1" t="s">
        <v>110</v>
      </c>
      <c r="D16" s="1" t="s">
        <v>111</v>
      </c>
      <c r="E16" s="1" t="s">
        <v>203</v>
      </c>
      <c r="F16" s="1"/>
      <c r="G16" s="1" t="s">
        <v>112</v>
      </c>
      <c r="H16" s="3" t="s">
        <v>204</v>
      </c>
      <c r="I16" s="1" t="s">
        <v>205</v>
      </c>
      <c r="J16" s="1" t="s">
        <v>206</v>
      </c>
      <c r="K16" s="1" t="s">
        <v>207</v>
      </c>
      <c r="L16" s="1">
        <v>11111</v>
      </c>
      <c r="M16" s="1"/>
      <c r="N16" s="1"/>
      <c r="O16" s="1" t="s">
        <v>28</v>
      </c>
      <c r="P16" s="2" t="s">
        <v>113</v>
      </c>
      <c r="Q16" s="1"/>
      <c r="R16" s="4">
        <v>35057</v>
      </c>
      <c r="S16" s="1"/>
      <c r="T16" s="1"/>
      <c r="U16" s="1" t="s">
        <v>114</v>
      </c>
      <c r="V16" s="1">
        <v>9755543</v>
      </c>
    </row>
    <row r="17" spans="1:22" ht="14.4" customHeight="1" x14ac:dyDescent="0.3">
      <c r="A17" s="1">
        <v>16438810</v>
      </c>
      <c r="B17" s="1" t="s">
        <v>115</v>
      </c>
      <c r="C17" s="1" t="s">
        <v>116</v>
      </c>
      <c r="D17" s="1" t="s">
        <v>117</v>
      </c>
      <c r="E17" s="1" t="s">
        <v>208</v>
      </c>
      <c r="F17" s="1"/>
      <c r="G17" s="1" t="s">
        <v>118</v>
      </c>
      <c r="H17" s="3" t="s">
        <v>209</v>
      </c>
      <c r="I17" s="1" t="s">
        <v>210</v>
      </c>
      <c r="J17" s="1" t="s">
        <v>211</v>
      </c>
      <c r="K17" s="1" t="s">
        <v>212</v>
      </c>
      <c r="L17" s="1">
        <v>11111</v>
      </c>
      <c r="M17" s="1"/>
      <c r="N17" s="1" t="s">
        <v>119</v>
      </c>
      <c r="O17" s="1" t="s">
        <v>28</v>
      </c>
      <c r="P17" s="2" t="s">
        <v>120</v>
      </c>
      <c r="Q17" s="1"/>
      <c r="R17" s="4"/>
      <c r="S17" s="1"/>
      <c r="T17" s="1"/>
      <c r="U17" s="1" t="s">
        <v>121</v>
      </c>
      <c r="V17" s="1">
        <v>9928699</v>
      </c>
    </row>
    <row r="18" spans="1:22" ht="14.4" customHeight="1" x14ac:dyDescent="0.3">
      <c r="A18" s="1">
        <v>16480369</v>
      </c>
      <c r="B18" s="1" t="s">
        <v>122</v>
      </c>
      <c r="C18" s="1"/>
      <c r="D18" s="1" t="s">
        <v>123</v>
      </c>
      <c r="E18" s="1" t="s">
        <v>213</v>
      </c>
      <c r="F18" s="1"/>
      <c r="G18" s="1" t="s">
        <v>124</v>
      </c>
      <c r="H18" s="3" t="s">
        <v>214</v>
      </c>
      <c r="I18" s="1" t="s">
        <v>215</v>
      </c>
      <c r="J18" s="1" t="s">
        <v>216</v>
      </c>
      <c r="K18" s="1" t="s">
        <v>217</v>
      </c>
      <c r="L18" s="1">
        <v>11111</v>
      </c>
      <c r="M18" s="1"/>
      <c r="N18" s="1" t="s">
        <v>125</v>
      </c>
      <c r="O18" s="1" t="s">
        <v>28</v>
      </c>
      <c r="P18" s="1"/>
      <c r="Q18" s="1"/>
      <c r="R18" s="4">
        <v>24016</v>
      </c>
      <c r="S18" s="1"/>
      <c r="T18" s="1"/>
      <c r="U18" s="1" t="s">
        <v>126</v>
      </c>
      <c r="V18" s="1">
        <v>9953780</v>
      </c>
    </row>
    <row r="19" spans="1:22" ht="14.4" customHeight="1" x14ac:dyDescent="0.3">
      <c r="A19" s="1">
        <v>17820681</v>
      </c>
      <c r="B19" s="1" t="s">
        <v>127</v>
      </c>
      <c r="C19" s="1" t="s">
        <v>128</v>
      </c>
      <c r="D19" s="1" t="s">
        <v>129</v>
      </c>
      <c r="E19" s="1" t="s">
        <v>218</v>
      </c>
      <c r="F19" s="1"/>
      <c r="G19" s="1" t="s">
        <v>130</v>
      </c>
      <c r="H19" s="3" t="s">
        <v>219</v>
      </c>
      <c r="I19" s="1" t="s">
        <v>220</v>
      </c>
      <c r="J19" s="1" t="s">
        <v>221</v>
      </c>
      <c r="K19" s="1" t="s">
        <v>222</v>
      </c>
      <c r="L19" s="1">
        <v>11111</v>
      </c>
      <c r="M19" s="1"/>
      <c r="N19" s="1"/>
      <c r="O19" s="1" t="s">
        <v>28</v>
      </c>
      <c r="P19" s="2" t="s">
        <v>131</v>
      </c>
      <c r="Q19" s="1"/>
      <c r="R19" s="4"/>
      <c r="S19" s="1"/>
      <c r="T19" s="1"/>
      <c r="U19" s="1" t="s">
        <v>132</v>
      </c>
      <c r="V19" s="1">
        <v>10759701</v>
      </c>
    </row>
    <row r="21" spans="1:22" ht="15.75" customHeight="1" x14ac:dyDescent="0.3"/>
    <row r="22" spans="1:22" ht="15.75" customHeight="1" x14ac:dyDescent="0.3"/>
    <row r="23" spans="1:22" ht="15.75" customHeight="1" x14ac:dyDescent="0.3"/>
    <row r="24" spans="1:22" ht="15.75" customHeight="1" x14ac:dyDescent="0.3"/>
    <row r="25" spans="1:22" ht="15.75" customHeight="1" x14ac:dyDescent="0.3"/>
    <row r="26" spans="1:22" ht="15.75" customHeight="1" x14ac:dyDescent="0.3"/>
    <row r="27" spans="1:22" ht="15.75" customHeight="1" x14ac:dyDescent="0.3"/>
    <row r="28" spans="1:22" ht="15.75" customHeight="1" x14ac:dyDescent="0.3"/>
    <row r="29" spans="1:22" ht="15.75" customHeight="1" x14ac:dyDescent="0.3"/>
    <row r="30" spans="1:22" ht="15.75" customHeight="1" x14ac:dyDescent="0.3"/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3" r:id="rId1" xr:uid="{00000000-0004-0000-0100-000000000000}"/>
    <hyperlink ref="P4" r:id="rId2" xr:uid="{00000000-0004-0000-0100-000001000000}"/>
    <hyperlink ref="P5" r:id="rId3" xr:uid="{00000000-0004-0000-0100-000002000000}"/>
    <hyperlink ref="P6" r:id="rId4" xr:uid="{00000000-0004-0000-0100-000003000000}"/>
    <hyperlink ref="P7" r:id="rId5" xr:uid="{00000000-0004-0000-0100-000004000000}"/>
    <hyperlink ref="P8" r:id="rId6" xr:uid="{00000000-0004-0000-0100-000005000000}"/>
    <hyperlink ref="P9" r:id="rId7" xr:uid="{00000000-0004-0000-0100-000006000000}"/>
    <hyperlink ref="P11" r:id="rId8" xr:uid="{00000000-0004-0000-0100-000007000000}"/>
    <hyperlink ref="P12" r:id="rId9" xr:uid="{00000000-0004-0000-0100-000008000000}"/>
    <hyperlink ref="P13" r:id="rId10" xr:uid="{00000000-0004-0000-0100-000009000000}"/>
    <hyperlink ref="P14" r:id="rId11" xr:uid="{00000000-0004-0000-0100-00000A000000}"/>
    <hyperlink ref="P15" r:id="rId12" xr:uid="{00000000-0004-0000-0100-00000B000000}"/>
    <hyperlink ref="P16" r:id="rId13" xr:uid="{00000000-0004-0000-0100-00000C000000}"/>
    <hyperlink ref="P17" r:id="rId14" xr:uid="{00000000-0004-0000-0100-00000D000000}"/>
    <hyperlink ref="P19" r:id="rId15" xr:uid="{00000000-0004-0000-0100-00000E000000}"/>
  </hyperlinks>
  <pageMargins left="0.7" right="0.7" top="0.75" bottom="0.75" header="0" footer="0"/>
  <pageSetup orientation="landscape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abSelected="1" workbookViewId="0">
      <selection activeCell="B2" sqref="B2"/>
    </sheetView>
  </sheetViews>
  <sheetFormatPr defaultRowHeight="14.4" x14ac:dyDescent="0.3"/>
  <cols>
    <col min="1" max="1" width="7.77734375" bestFit="1" customWidth="1"/>
  </cols>
  <sheetData>
    <row r="1" spans="1:9" x14ac:dyDescent="0.3">
      <c r="A1" t="s">
        <v>223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 t="e">
        <f>Test [1]file!A2</f>
        <v>#NAME?</v>
      </c>
      <c r="B2" t="e">
        <f>Test [1]file!D2&amp;", "&amp;Test [1]file!B2&amp;IF(Test [1]file!C2="",""," "&amp;Test [1]file!C2)</f>
        <v>#NAME?</v>
      </c>
      <c r="C2" t="e">
        <f>TRIM(LEFT(Test [1]file!F2,FIND(",",Test [1]file!F2&amp;",")-1))</f>
        <v>#NAME?</v>
      </c>
      <c r="D2" t="str">
        <f>IF(OR(ISNUMBER(SEARCH(" Apt ",Test [1]file!F2)),ISNUMBER(SEARCH(" Suite ",Test [1]file!F2)),ISNUMBER(SEARCH("#",Test [1]file!F2))),"","")</f>
        <v/>
      </c>
      <c r="E2" t="e">
        <f>TRIM(MID(Test [1]file!F2,FIND(",",Test [1]file!F2)+1,FIND(",",Test [1]file!F2,FIND(",",Test [1]file!F2)+1)-FIND(",",Test [1]file!F2)-1))</f>
        <v>#NAME?</v>
      </c>
      <c r="F2" t="e">
        <f>TRIM(SUBSTITUTE(MID(Test [1]file!F2,FIND(",",Test [1]file!F2,FIND(",",Test [1]file!F2)+1)+1,99),RIGHT(TRIM(Test [1]file!F2),5),""))</f>
        <v>#NAME?</v>
      </c>
      <c r="G2" t="e">
        <f>TRIM(RIGHT(TRIM(Test [1]file!F2),5))</f>
        <v>#NAME?</v>
      </c>
      <c r="H2" t="e">
        <f>TRIM(Test [1]file!O2)</f>
        <v>#NAME?</v>
      </c>
      <c r="I2" t="e">
        <f>TEXT(Test [1]file!L2,"m/d/yyyy")</f>
        <v>#NAME?</v>
      </c>
    </row>
    <row r="3" spans="1:9" x14ac:dyDescent="0.3">
      <c r="A3" t="e">
        <f>Test [1]file!A3</f>
        <v>#NAME?</v>
      </c>
      <c r="B3" t="e">
        <f>Test [1]file!D3&amp;", "&amp;Test [1]file!B3&amp;IF(Test [1]file!C3="",""," "&amp;Test [1]file!C3)</f>
        <v>#NAME?</v>
      </c>
      <c r="C3" t="e">
        <f>TRIM(LEFT(Test [1]file!F3,FIND(",",Test [1]file!F3&amp;",")-1))</f>
        <v>#NAME?</v>
      </c>
      <c r="D3" t="str">
        <f>IF(OR(ISNUMBER(SEARCH(" Apt ",Test [1]file!F3)),ISNUMBER(SEARCH(" Suite ",Test [1]file!F3)),ISNUMBER(SEARCH("#",Test [1]file!F3))),"","")</f>
        <v/>
      </c>
      <c r="E3" t="e">
        <f>TRIM(MID(Test [1]file!F3,FIND(",",Test [1]file!F3)+1,FIND(",",Test [1]file!F3,FIND(",",Test [1]file!F3)+1)-FIND(",",Test [1]file!F3)-1))</f>
        <v>#NAME?</v>
      </c>
      <c r="F3" t="e">
        <f>TRIM(SUBSTITUTE(MID(Test [1]file!F3,FIND(",",Test [1]file!F3,FIND(",",Test [1]file!F3)+1)+1,99),RIGHT(TRIM(Test [1]file!F3),5),""))</f>
        <v>#NAME?</v>
      </c>
      <c r="G3" t="e">
        <f>TRIM(RIGHT(TRIM(Test [1]file!F3),5))</f>
        <v>#NAME?</v>
      </c>
      <c r="H3" t="e">
        <f>TRIM(Test [1]file!O3)</f>
        <v>#NAME?</v>
      </c>
      <c r="I3" t="e">
        <f>TEXT(Test [1]file!L3,"m/d/yyyy")</f>
        <v>#NAME?</v>
      </c>
    </row>
    <row r="4" spans="1:9" x14ac:dyDescent="0.3">
      <c r="A4" t="e">
        <f>Test [1]file!A4</f>
        <v>#NAME?</v>
      </c>
      <c r="B4" t="e">
        <f>Test [1]file!D4&amp;", "&amp;Test [1]file!B4&amp;IF(Test [1]file!C4="",""," "&amp;Test [1]file!C4)</f>
        <v>#NAME?</v>
      </c>
      <c r="C4" t="e">
        <f>TRIM(LEFT(Test [1]file!F4,FIND(",",Test [1]file!F4&amp;",")-1))</f>
        <v>#NAME?</v>
      </c>
      <c r="D4" t="str">
        <f>IF(OR(ISNUMBER(SEARCH(" Apt ",Test [1]file!F4)),ISNUMBER(SEARCH(" Suite ",Test [1]file!F4)),ISNUMBER(SEARCH("#",Test [1]file!F4))),"","")</f>
        <v/>
      </c>
      <c r="E4" t="e">
        <f>TRIM(MID(Test [1]file!F4,FIND(",",Test [1]file!F4)+1,FIND(",",Test [1]file!F4,FIND(",",Test [1]file!F4)+1)-FIND(",",Test [1]file!F4)-1))</f>
        <v>#NAME?</v>
      </c>
      <c r="F4" t="e">
        <f>TRIM(SUBSTITUTE(MID(Test [1]file!F4,FIND(",",Test [1]file!F4,FIND(",",Test [1]file!F4)+1)+1,99),RIGHT(TRIM(Test [1]file!F4),5),""))</f>
        <v>#NAME?</v>
      </c>
      <c r="G4" t="e">
        <f>TRIM(RIGHT(TRIM(Test [1]file!F4),5))</f>
        <v>#NAME?</v>
      </c>
      <c r="H4" t="e">
        <f>TRIM(Test [1]file!O4)</f>
        <v>#NAME?</v>
      </c>
      <c r="I4" t="e">
        <f>TEXT(Test [1]file!L4,"m/d/yyyy")</f>
        <v>#NAME?</v>
      </c>
    </row>
    <row r="5" spans="1:9" x14ac:dyDescent="0.3">
      <c r="A5" t="e">
        <f>Test [1]file!A5</f>
        <v>#NAME?</v>
      </c>
      <c r="B5" t="e">
        <f>Test [1]file!D5&amp;", "&amp;Test [1]file!B5&amp;IF(Test [1]file!C5="",""," "&amp;Test [1]file!C5)</f>
        <v>#NAME?</v>
      </c>
      <c r="C5" t="e">
        <f>TRIM(LEFT(Test [1]file!F5,FIND(",",Test [1]file!F5&amp;",")-1))</f>
        <v>#NAME?</v>
      </c>
      <c r="D5" t="str">
        <f>IF(OR(ISNUMBER(SEARCH(" Apt ",Test [1]file!F5)),ISNUMBER(SEARCH(" Suite ",Test [1]file!F5)),ISNUMBER(SEARCH("#",Test [1]file!F5))),"","")</f>
        <v/>
      </c>
      <c r="E5" t="e">
        <f>TRIM(MID(Test [1]file!F5,FIND(",",Test [1]file!F5)+1,FIND(",",Test [1]file!F5,FIND(",",Test [1]file!F5)+1)-FIND(",",Test [1]file!F5)-1))</f>
        <v>#NAME?</v>
      </c>
      <c r="F5" t="e">
        <f>TRIM(SUBSTITUTE(MID(Test [1]file!F5,FIND(",",Test [1]file!F5,FIND(",",Test [1]file!F5)+1)+1,99),RIGHT(TRIM(Test [1]file!F5),5),""))</f>
        <v>#NAME?</v>
      </c>
      <c r="G5" t="e">
        <f>TRIM(RIGHT(TRIM(Test [1]file!F5),5))</f>
        <v>#NAME?</v>
      </c>
      <c r="H5" t="e">
        <f>TRIM(Test [1]file!O5)</f>
        <v>#NAME?</v>
      </c>
      <c r="I5" t="e">
        <f>TEXT(Test [1]file!L5,"m/d/yyyy")</f>
        <v>#NAME?</v>
      </c>
    </row>
    <row r="6" spans="1:9" x14ac:dyDescent="0.3">
      <c r="A6" t="e">
        <f>Test [1]file!A6</f>
        <v>#NAME?</v>
      </c>
      <c r="B6" t="e">
        <f>Test [1]file!D6&amp;", "&amp;Test [1]file!B6&amp;IF(Test [1]file!C6="",""," "&amp;Test [1]file!C6)</f>
        <v>#NAME?</v>
      </c>
      <c r="C6" t="e">
        <f>TRIM(LEFT(Test [1]file!F6,FIND(",",Test [1]file!F6&amp;",")-1))</f>
        <v>#NAME?</v>
      </c>
      <c r="D6" t="str">
        <f>IF(OR(ISNUMBER(SEARCH(" Apt ",Test [1]file!F6)),ISNUMBER(SEARCH(" Suite ",Test [1]file!F6)),ISNUMBER(SEARCH("#",Test [1]file!F6))),"","")</f>
        <v/>
      </c>
      <c r="E6" t="e">
        <f>TRIM(MID(Test [1]file!F6,FIND(",",Test [1]file!F6)+1,FIND(",",Test [1]file!F6,FIND(",",Test [1]file!F6)+1)-FIND(",",Test [1]file!F6)-1))</f>
        <v>#NAME?</v>
      </c>
      <c r="F6" t="e">
        <f>TRIM(SUBSTITUTE(MID(Test [1]file!F6,FIND(",",Test [1]file!F6,FIND(",",Test [1]file!F6)+1)+1,99),RIGHT(TRIM(Test [1]file!F6),5),""))</f>
        <v>#NAME?</v>
      </c>
      <c r="G6" t="e">
        <f>TRIM(RIGHT(TRIM(Test [1]file!F6),5))</f>
        <v>#NAME?</v>
      </c>
      <c r="H6" t="e">
        <f>TRIM(Test [1]file!O6)</f>
        <v>#NAME?</v>
      </c>
      <c r="I6" t="e">
        <f>TEXT(Test [1]file!L6,"m/d/yyyy")</f>
        <v>#NAME?</v>
      </c>
    </row>
    <row r="7" spans="1:9" x14ac:dyDescent="0.3">
      <c r="A7" t="e">
        <f>Test [1]file!A7</f>
        <v>#NAME?</v>
      </c>
      <c r="B7" t="e">
        <f>Test [1]file!D7&amp;", "&amp;Test [1]file!B7&amp;IF(Test [1]file!C7="",""," "&amp;Test [1]file!C7)</f>
        <v>#NAME?</v>
      </c>
      <c r="C7" t="e">
        <f>TRIM(LEFT(Test [1]file!F7,FIND(",",Test [1]file!F7&amp;",")-1))</f>
        <v>#NAME?</v>
      </c>
      <c r="D7" t="str">
        <f>IF(OR(ISNUMBER(SEARCH(" Apt ",Test [1]file!F7)),ISNUMBER(SEARCH(" Suite ",Test [1]file!F7)),ISNUMBER(SEARCH("#",Test [1]file!F7))),"","")</f>
        <v/>
      </c>
      <c r="E7" t="e">
        <f>TRIM(MID(Test [1]file!F7,FIND(",",Test [1]file!F7)+1,FIND(",",Test [1]file!F7,FIND(",",Test [1]file!F7)+1)-FIND(",",Test [1]file!F7)-1))</f>
        <v>#NAME?</v>
      </c>
      <c r="F7" t="e">
        <f>TRIM(SUBSTITUTE(MID(Test [1]file!F7,FIND(",",Test [1]file!F7,FIND(",",Test [1]file!F7)+1)+1,99),RIGHT(TRIM(Test [1]file!F7),5),""))</f>
        <v>#NAME?</v>
      </c>
      <c r="G7" t="e">
        <f>TRIM(RIGHT(TRIM(Test [1]file!F7),5))</f>
        <v>#NAME?</v>
      </c>
      <c r="H7" t="e">
        <f>TRIM(Test [1]file!O7)</f>
        <v>#NAME?</v>
      </c>
      <c r="I7" t="e">
        <f>TEXT(Test [1]file!L7,"m/d/yyyy")</f>
        <v>#NAME?</v>
      </c>
    </row>
    <row r="8" spans="1:9" x14ac:dyDescent="0.3">
      <c r="A8" t="e">
        <f>Test [1]file!A8</f>
        <v>#NAME?</v>
      </c>
      <c r="B8" t="e">
        <f>Test [1]file!D8&amp;", "&amp;Test [1]file!B8&amp;IF(Test [1]file!C8="",""," "&amp;Test [1]file!C8)</f>
        <v>#NAME?</v>
      </c>
      <c r="C8" t="e">
        <f>TRIM(LEFT(Test [1]file!F8,FIND(",",Test [1]file!F8&amp;",")-1))</f>
        <v>#NAME?</v>
      </c>
      <c r="D8" t="str">
        <f>IF(OR(ISNUMBER(SEARCH(" Apt ",Test [1]file!F8)),ISNUMBER(SEARCH(" Suite ",Test [1]file!F8)),ISNUMBER(SEARCH("#",Test [1]file!F8))),"","")</f>
        <v/>
      </c>
      <c r="E8" t="e">
        <f>TRIM(MID(Test [1]file!F8,FIND(",",Test [1]file!F8)+1,FIND(",",Test [1]file!F8,FIND(",",Test [1]file!F8)+1)-FIND(",",Test [1]file!F8)-1))</f>
        <v>#NAME?</v>
      </c>
      <c r="F8" t="e">
        <f>TRIM(SUBSTITUTE(MID(Test [1]file!F8,FIND(",",Test [1]file!F8,FIND(",",Test [1]file!F8)+1)+1,99),RIGHT(TRIM(Test [1]file!F8),5),""))</f>
        <v>#NAME?</v>
      </c>
      <c r="G8" t="e">
        <f>TRIM(RIGHT(TRIM(Test [1]file!F8),5))</f>
        <v>#NAME?</v>
      </c>
      <c r="H8" t="e">
        <f>TRIM(Test [1]file!O8)</f>
        <v>#NAME?</v>
      </c>
      <c r="I8" t="e">
        <f>TEXT(Test [1]file!L8,"m/d/yyyy")</f>
        <v>#NAME?</v>
      </c>
    </row>
    <row r="9" spans="1:9" x14ac:dyDescent="0.3">
      <c r="A9" t="e">
        <f>Test [1]file!A9</f>
        <v>#NAME?</v>
      </c>
      <c r="B9" t="e">
        <f>Test [1]file!D9&amp;", "&amp;Test [1]file!B9&amp;IF(Test [1]file!C9="",""," "&amp;Test [1]file!C9)</f>
        <v>#NAME?</v>
      </c>
      <c r="C9" t="e">
        <f>TRIM(LEFT(Test [1]file!F9,FIND(",",Test [1]file!F9&amp;",")-1))</f>
        <v>#NAME?</v>
      </c>
      <c r="D9" t="str">
        <f>IF(OR(ISNUMBER(SEARCH(" Apt ",Test [1]file!F9)),ISNUMBER(SEARCH(" Suite ",Test [1]file!F9)),ISNUMBER(SEARCH("#",Test [1]file!F9))),"","")</f>
        <v/>
      </c>
      <c r="E9" t="e">
        <f>TRIM(MID(Test [1]file!F9,FIND(",",Test [1]file!F9)+1,FIND(",",Test [1]file!F9,FIND(",",Test [1]file!F9)+1)-FIND(",",Test [1]file!F9)-1))</f>
        <v>#NAME?</v>
      </c>
      <c r="F9" t="e">
        <f>TRIM(SUBSTITUTE(MID(Test [1]file!F9,FIND(",",Test [1]file!F9,FIND(",",Test [1]file!F9)+1)+1,99),RIGHT(TRIM(Test [1]file!F9),5),""))</f>
        <v>#NAME?</v>
      </c>
      <c r="G9" t="e">
        <f>TRIM(RIGHT(TRIM(Test [1]file!F9),5))</f>
        <v>#NAME?</v>
      </c>
      <c r="H9" t="e">
        <f>TRIM(Test [1]file!O9)</f>
        <v>#NAME?</v>
      </c>
      <c r="I9" t="e">
        <f>TEXT(Test [1]file!L9,"m/d/yyyy")</f>
        <v>#NAME?</v>
      </c>
    </row>
    <row r="10" spans="1:9" x14ac:dyDescent="0.3">
      <c r="A10" t="e">
        <f>Test [1]file!A10</f>
        <v>#NAME?</v>
      </c>
      <c r="B10" t="e">
        <f>Test [1]file!D10&amp;", "&amp;Test [1]file!B10&amp;IF(Test [1]file!C10="",""," "&amp;Test [1]file!C10)</f>
        <v>#NAME?</v>
      </c>
      <c r="C10" t="e">
        <f>TRIM(LEFT(Test [1]file!F10,FIND(",",Test [1]file!F10&amp;",")-1))</f>
        <v>#NAME?</v>
      </c>
      <c r="D10" t="str">
        <f>IF(OR(ISNUMBER(SEARCH(" Apt ",Test [1]file!F10)),ISNUMBER(SEARCH(" Suite ",Test [1]file!F10)),ISNUMBER(SEARCH("#",Test [1]file!F10))),"","")</f>
        <v/>
      </c>
      <c r="E10" t="e">
        <f>TRIM(MID(Test [1]file!F10,FIND(",",Test [1]file!F10)+1,FIND(",",Test [1]file!F10,FIND(",",Test [1]file!F10)+1)-FIND(",",Test [1]file!F10)-1))</f>
        <v>#NAME?</v>
      </c>
      <c r="F10" t="e">
        <f>TRIM(SUBSTITUTE(MID(Test [1]file!F10,FIND(",",Test [1]file!F10,FIND(",",Test [1]file!F10)+1)+1,99),RIGHT(TRIM(Test [1]file!F10),5),""))</f>
        <v>#NAME?</v>
      </c>
      <c r="G10" t="e">
        <f>TRIM(RIGHT(TRIM(Test [1]file!F10),5))</f>
        <v>#NAME?</v>
      </c>
      <c r="H10" t="e">
        <f>TRIM(Test [1]file!O10)</f>
        <v>#NAME?</v>
      </c>
      <c r="I10" t="e">
        <f>TEXT(Test [1]file!L10,"m/d/yyyy")</f>
        <v>#NAME?</v>
      </c>
    </row>
    <row r="11" spans="1:9" x14ac:dyDescent="0.3">
      <c r="A11" t="e">
        <f>Test [1]file!A11</f>
        <v>#NAME?</v>
      </c>
      <c r="B11" t="e">
        <f>Test [1]file!D11&amp;", "&amp;Test [1]file!B11&amp;IF(Test [1]file!C11="",""," "&amp;Test [1]file!C11)</f>
        <v>#NAME?</v>
      </c>
      <c r="C11" t="e">
        <f>TRIM(LEFT(Test [1]file!F11,FIND(",",Test [1]file!F11&amp;",")-1))</f>
        <v>#NAME?</v>
      </c>
      <c r="D11" t="str">
        <f>IF(OR(ISNUMBER(SEARCH(" Apt ",Test [1]file!F11)),ISNUMBER(SEARCH(" Suite ",Test [1]file!F11)),ISNUMBER(SEARCH("#",Test [1]file!F11))),"","")</f>
        <v/>
      </c>
      <c r="E11" t="e">
        <f>TRIM(MID(Test [1]file!F11,FIND(",",Test [1]file!F11)+1,FIND(",",Test [1]file!F11,FIND(",",Test [1]file!F11)+1)-FIND(",",Test [1]file!F11)-1))</f>
        <v>#NAME?</v>
      </c>
      <c r="F11" t="e">
        <f>TRIM(SUBSTITUTE(MID(Test [1]file!F11,FIND(",",Test [1]file!F11,FIND(",",Test [1]file!F11)+1)+1,99),RIGHT(TRIM(Test [1]file!F11),5),""))</f>
        <v>#NAME?</v>
      </c>
      <c r="G11" t="e">
        <f>TRIM(RIGHT(TRIM(Test [1]file!F11),5))</f>
        <v>#NAME?</v>
      </c>
      <c r="H11" t="e">
        <f>TRIM(Test [1]file!O11)</f>
        <v>#NAME?</v>
      </c>
      <c r="I11" t="e">
        <f>TEXT(Test [1]file!L11,"m/d/yyyy")</f>
        <v>#NAME?</v>
      </c>
    </row>
    <row r="12" spans="1:9" x14ac:dyDescent="0.3">
      <c r="A12" t="e">
        <f>Test [1]file!A12</f>
        <v>#NAME?</v>
      </c>
      <c r="B12" t="e">
        <f>Test [1]file!D12&amp;", "&amp;Test [1]file!B12&amp;IF(Test [1]file!C12="",""," "&amp;Test [1]file!C12)</f>
        <v>#NAME?</v>
      </c>
      <c r="C12" t="e">
        <f>TRIM(LEFT(Test [1]file!F12,FIND(",",Test [1]file!F12&amp;",")-1))</f>
        <v>#NAME?</v>
      </c>
      <c r="D12" t="str">
        <f>IF(OR(ISNUMBER(SEARCH(" Apt ",Test [1]file!F12)),ISNUMBER(SEARCH(" Suite ",Test [1]file!F12)),ISNUMBER(SEARCH("#",Test [1]file!F12))),"","")</f>
        <v/>
      </c>
      <c r="E12" t="e">
        <f>TRIM(MID(Test [1]file!F12,FIND(",",Test [1]file!F12)+1,FIND(",",Test [1]file!F12,FIND(",",Test [1]file!F12)+1)-FIND(",",Test [1]file!F12)-1))</f>
        <v>#NAME?</v>
      </c>
      <c r="F12" t="e">
        <f>TRIM(SUBSTITUTE(MID(Test [1]file!F12,FIND(",",Test [1]file!F12,FIND(",",Test [1]file!F12)+1)+1,99),RIGHT(TRIM(Test [1]file!F12),5),""))</f>
        <v>#NAME?</v>
      </c>
      <c r="G12" t="e">
        <f>TRIM(RIGHT(TRIM(Test [1]file!F12),5))</f>
        <v>#NAME?</v>
      </c>
      <c r="H12" t="e">
        <f>TRIM(Test [1]file!O12)</f>
        <v>#NAME?</v>
      </c>
      <c r="I12" t="e">
        <f>TEXT(Test [1]file!L12,"m/d/yyyy")</f>
        <v>#NAME?</v>
      </c>
    </row>
    <row r="13" spans="1:9" x14ac:dyDescent="0.3">
      <c r="A13" t="e">
        <f>Test [1]file!A13</f>
        <v>#NAME?</v>
      </c>
      <c r="B13" t="e">
        <f>Test [1]file!D13&amp;", "&amp;Test [1]file!B13&amp;IF(Test [1]file!C13="",""," "&amp;Test [1]file!C13)</f>
        <v>#NAME?</v>
      </c>
      <c r="C13" t="e">
        <f>TRIM(LEFT(Test [1]file!F13,FIND(",",Test [1]file!F13&amp;",")-1))</f>
        <v>#NAME?</v>
      </c>
      <c r="D13" t="str">
        <f>IF(OR(ISNUMBER(SEARCH(" Apt ",Test [1]file!F13)),ISNUMBER(SEARCH(" Suite ",Test [1]file!F13)),ISNUMBER(SEARCH("#",Test [1]file!F13))),"","")</f>
        <v/>
      </c>
      <c r="E13" t="e">
        <f>TRIM(MID(Test [1]file!F13,FIND(",",Test [1]file!F13)+1,FIND(",",Test [1]file!F13,FIND(",",Test [1]file!F13)+1)-FIND(",",Test [1]file!F13)-1))</f>
        <v>#NAME?</v>
      </c>
      <c r="F13" t="e">
        <f>TRIM(SUBSTITUTE(MID(Test [1]file!F13,FIND(",",Test [1]file!F13,FIND(",",Test [1]file!F13)+1)+1,99),RIGHT(TRIM(Test [1]file!F13),5),""))</f>
        <v>#NAME?</v>
      </c>
      <c r="G13" t="e">
        <f>TRIM(RIGHT(TRIM(Test [1]file!F13),5))</f>
        <v>#NAME?</v>
      </c>
      <c r="H13" t="e">
        <f>TRIM(Test [1]file!O13)</f>
        <v>#NAME?</v>
      </c>
      <c r="I13" t="e">
        <f>TEXT(Test [1]file!L13,"m/d/yyyy")</f>
        <v>#NAME?</v>
      </c>
    </row>
    <row r="14" spans="1:9" x14ac:dyDescent="0.3">
      <c r="A14" t="e">
        <f>Test [1]file!A14</f>
        <v>#NAME?</v>
      </c>
      <c r="B14" t="e">
        <f>Test [1]file!D14&amp;", "&amp;Test [1]file!B14&amp;IF(Test [1]file!C14="",""," "&amp;Test [1]file!C14)</f>
        <v>#NAME?</v>
      </c>
      <c r="C14" t="e">
        <f>TRIM(LEFT(Test [1]file!F14,FIND(",",Test [1]file!F14&amp;",")-1))</f>
        <v>#NAME?</v>
      </c>
      <c r="D14" t="str">
        <f>IF(OR(ISNUMBER(SEARCH(" Apt ",Test [1]file!F14)),ISNUMBER(SEARCH(" Suite ",Test [1]file!F14)),ISNUMBER(SEARCH("#",Test [1]file!F14))),"","")</f>
        <v/>
      </c>
      <c r="E14" t="e">
        <f>TRIM(MID(Test [1]file!F14,FIND(",",Test [1]file!F14)+1,FIND(",",Test [1]file!F14,FIND(",",Test [1]file!F14)+1)-FIND(",",Test [1]file!F14)-1))</f>
        <v>#NAME?</v>
      </c>
      <c r="F14" t="e">
        <f>TRIM(SUBSTITUTE(MID(Test [1]file!F14,FIND(",",Test [1]file!F14,FIND(",",Test [1]file!F14)+1)+1,99),RIGHT(TRIM(Test [1]file!F14),5),""))</f>
        <v>#NAME?</v>
      </c>
      <c r="G14" t="e">
        <f>TRIM(RIGHT(TRIM(Test [1]file!F14),5))</f>
        <v>#NAME?</v>
      </c>
      <c r="H14" t="e">
        <f>TRIM(Test [1]file!O14)</f>
        <v>#NAME?</v>
      </c>
      <c r="I14" t="e">
        <f>TEXT(Test [1]file!L14,"m/d/yyyy")</f>
        <v>#NAME?</v>
      </c>
    </row>
    <row r="15" spans="1:9" x14ac:dyDescent="0.3">
      <c r="A15" t="e">
        <f>Test [1]file!A15</f>
        <v>#NAME?</v>
      </c>
      <c r="B15" t="e">
        <f>Test [1]file!D15&amp;", "&amp;Test [1]file!B15&amp;IF(Test [1]file!C15="",""," "&amp;Test [1]file!C15)</f>
        <v>#NAME?</v>
      </c>
      <c r="C15" t="e">
        <f>TRIM(LEFT(Test [1]file!F15,FIND(",",Test [1]file!F15&amp;",")-1))</f>
        <v>#NAME?</v>
      </c>
      <c r="D15" t="str">
        <f>IF(OR(ISNUMBER(SEARCH(" Apt ",Test [1]file!F15)),ISNUMBER(SEARCH(" Suite ",Test [1]file!F15)),ISNUMBER(SEARCH("#",Test [1]file!F15))),"","")</f>
        <v/>
      </c>
      <c r="E15" t="e">
        <f>TRIM(MID(Test [1]file!F15,FIND(",",Test [1]file!F15)+1,FIND(",",Test [1]file!F15,FIND(",",Test [1]file!F15)+1)-FIND(",",Test [1]file!F15)-1))</f>
        <v>#NAME?</v>
      </c>
      <c r="F15" t="e">
        <f>TRIM(SUBSTITUTE(MID(Test [1]file!F15,FIND(",",Test [1]file!F15,FIND(",",Test [1]file!F15)+1)+1,99),RIGHT(TRIM(Test [1]file!F15),5),""))</f>
        <v>#NAME?</v>
      </c>
      <c r="G15" t="e">
        <f>TRIM(RIGHT(TRIM(Test [1]file!F15),5))</f>
        <v>#NAME?</v>
      </c>
      <c r="H15" t="e">
        <f>TRIM(Test [1]file!O15)</f>
        <v>#NAME?</v>
      </c>
      <c r="I15" t="e">
        <f>TEXT(Test [1]file!L15,"m/d/yyyy")</f>
        <v>#NAME?</v>
      </c>
    </row>
    <row r="16" spans="1:9" x14ac:dyDescent="0.3">
      <c r="A16" t="e">
        <f>Test [1]file!A16</f>
        <v>#NAME?</v>
      </c>
      <c r="B16" t="e">
        <f>Test [1]file!D16&amp;", "&amp;Test [1]file!B16&amp;IF(Test [1]file!C16="",""," "&amp;Test [1]file!C16)</f>
        <v>#NAME?</v>
      </c>
      <c r="C16" t="e">
        <f>TRIM(LEFT(Test [1]file!F16,FIND(",",Test [1]file!F16&amp;",")-1))</f>
        <v>#NAME?</v>
      </c>
      <c r="D16" t="str">
        <f>IF(OR(ISNUMBER(SEARCH(" Apt ",Test [1]file!F16)),ISNUMBER(SEARCH(" Suite ",Test [1]file!F16)),ISNUMBER(SEARCH("#",Test [1]file!F16))),"","")</f>
        <v/>
      </c>
      <c r="E16" t="e">
        <f>TRIM(MID(Test [1]file!F16,FIND(",",Test [1]file!F16)+1,FIND(",",Test [1]file!F16,FIND(",",Test [1]file!F16)+1)-FIND(",",Test [1]file!F16)-1))</f>
        <v>#NAME?</v>
      </c>
      <c r="F16" t="e">
        <f>TRIM(SUBSTITUTE(MID(Test [1]file!F16,FIND(",",Test [1]file!F16,FIND(",",Test [1]file!F16)+1)+1,99),RIGHT(TRIM(Test [1]file!F16),5),""))</f>
        <v>#NAME?</v>
      </c>
      <c r="G16" t="e">
        <f>TRIM(RIGHT(TRIM(Test [1]file!F16),5))</f>
        <v>#NAME?</v>
      </c>
      <c r="H16" t="e">
        <f>TRIM(Test [1]file!O16)</f>
        <v>#NAME?</v>
      </c>
      <c r="I16" t="e">
        <f>TEXT(Test [1]file!L16,"m/d/yyyy")</f>
        <v>#NAME?</v>
      </c>
    </row>
    <row r="17" spans="1:9" x14ac:dyDescent="0.3">
      <c r="A17" t="e">
        <f>Test [1]file!A17</f>
        <v>#NAME?</v>
      </c>
      <c r="B17" t="e">
        <f>Test [1]file!D17&amp;", "&amp;Test [1]file!B17&amp;IF(Test [1]file!C17="",""," "&amp;Test [1]file!C17)</f>
        <v>#NAME?</v>
      </c>
      <c r="C17" t="e">
        <f>TRIM(LEFT(Test [1]file!F17,FIND(",",Test [1]file!F17&amp;",")-1))</f>
        <v>#NAME?</v>
      </c>
      <c r="D17" t="str">
        <f>IF(OR(ISNUMBER(SEARCH(" Apt ",Test [1]file!F17)),ISNUMBER(SEARCH(" Suite ",Test [1]file!F17)),ISNUMBER(SEARCH("#",Test [1]file!F17))),"","")</f>
        <v/>
      </c>
      <c r="E17" t="e">
        <f>TRIM(MID(Test [1]file!F17,FIND(",",Test [1]file!F17)+1,FIND(",",Test [1]file!F17,FIND(",",Test [1]file!F17)+1)-FIND(",",Test [1]file!F17)-1))</f>
        <v>#NAME?</v>
      </c>
      <c r="F17" t="e">
        <f>TRIM(SUBSTITUTE(MID(Test [1]file!F17,FIND(",",Test [1]file!F17,FIND(",",Test [1]file!F17)+1)+1,99),RIGHT(TRIM(Test [1]file!F17),5),""))</f>
        <v>#NAME?</v>
      </c>
      <c r="G17" t="e">
        <f>TRIM(RIGHT(TRIM(Test [1]file!F17),5))</f>
        <v>#NAME?</v>
      </c>
      <c r="H17" t="e">
        <f>TRIM(Test [1]file!O17)</f>
        <v>#NAME?</v>
      </c>
      <c r="I17" t="e">
        <f>TEXT(Test [1]file!L17,"m/d/yyyy")</f>
        <v>#NAME?</v>
      </c>
    </row>
    <row r="18" spans="1:9" x14ac:dyDescent="0.3">
      <c r="A18" t="e">
        <f>Test [1]file!A18</f>
        <v>#NAME?</v>
      </c>
      <c r="B18" t="e">
        <f>Test [1]file!D18&amp;", "&amp;Test [1]file!B18&amp;IF(Test [1]file!C18="",""," "&amp;Test [1]file!C18)</f>
        <v>#NAME?</v>
      </c>
      <c r="C18" t="e">
        <f>TRIM(LEFT(Test [1]file!F18,FIND(",",Test [1]file!F18&amp;",")-1))</f>
        <v>#NAME?</v>
      </c>
      <c r="D18" t="str">
        <f>IF(OR(ISNUMBER(SEARCH(" Apt ",Test [1]file!F18)),ISNUMBER(SEARCH(" Suite ",Test [1]file!F18)),ISNUMBER(SEARCH("#",Test [1]file!F18))),"","")</f>
        <v/>
      </c>
      <c r="E18" t="e">
        <f>TRIM(MID(Test [1]file!F18,FIND(",",Test [1]file!F18)+1,FIND(",",Test [1]file!F18,FIND(",",Test [1]file!F18)+1)-FIND(",",Test [1]file!F18)-1))</f>
        <v>#NAME?</v>
      </c>
      <c r="F18" t="e">
        <f>TRIM(SUBSTITUTE(MID(Test [1]file!F18,FIND(",",Test [1]file!F18,FIND(",",Test [1]file!F18)+1)+1,99),RIGHT(TRIM(Test [1]file!F18),5),""))</f>
        <v>#NAME?</v>
      </c>
      <c r="G18" t="e">
        <f>TRIM(RIGHT(TRIM(Test [1]file!F18),5))</f>
        <v>#NAME?</v>
      </c>
      <c r="H18" t="e">
        <f>TRIM(Test [1]file!O18)</f>
        <v>#NAME?</v>
      </c>
      <c r="I18" t="e">
        <f>TEXT(Test [1]file!L18,"m/d/yyyy")</f>
        <v>#NAME?</v>
      </c>
    </row>
    <row r="19" spans="1:9" x14ac:dyDescent="0.3">
      <c r="A19" t="e">
        <f>Test [1]file!A19</f>
        <v>#NAME?</v>
      </c>
      <c r="B19" t="e">
        <f>Test [1]file!D19&amp;", "&amp;Test [1]file!B19&amp;IF(Test [1]file!C19="",""," "&amp;Test [1]file!C19)</f>
        <v>#NAME?</v>
      </c>
      <c r="C19" t="e">
        <f>TRIM(LEFT(Test [1]file!F19,FIND(",",Test [1]file!F19&amp;",")-1))</f>
        <v>#NAME?</v>
      </c>
      <c r="D19" t="str">
        <f>IF(OR(ISNUMBER(SEARCH(" Apt ",Test [1]file!F19)),ISNUMBER(SEARCH(" Suite ",Test [1]file!F19)),ISNUMBER(SEARCH("#",Test [1]file!F19))),"","")</f>
        <v/>
      </c>
      <c r="E19" t="e">
        <f>TRIM(MID(Test [1]file!F19,FIND(",",Test [1]file!F19)+1,FIND(",",Test [1]file!F19,FIND(",",Test [1]file!F19)+1)-FIND(",",Test [1]file!F19)-1))</f>
        <v>#NAME?</v>
      </c>
      <c r="F19" t="e">
        <f>TRIM(SUBSTITUTE(MID(Test [1]file!F19,FIND(",",Test [1]file!F19,FIND(",",Test [1]file!F19)+1)+1,99),RIGHT(TRIM(Test [1]file!F19),5),""))</f>
        <v>#NAME?</v>
      </c>
      <c r="G19" t="e">
        <f>TRIM(RIGHT(TRIM(Test [1]file!F19),5))</f>
        <v>#NAME?</v>
      </c>
      <c r="H19" t="e">
        <f>TRIM(Test [1]file!O19)</f>
        <v>#NAME?</v>
      </c>
      <c r="I19" t="e">
        <f>TEXT(Test [1]file!L19,"m/d/yyyy")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file</vt:lpstr>
      <vt:lpstr>expected output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Dustin Large</cp:lastModifiedBy>
  <dcterms:created xsi:type="dcterms:W3CDTF">2025-11-08T22:28:38Z</dcterms:created>
  <dcterms:modified xsi:type="dcterms:W3CDTF">2025-11-09T05:29:15Z</dcterms:modified>
</cp:coreProperties>
</file>