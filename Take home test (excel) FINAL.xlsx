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bdc05fd96ac8d0/Desktop/python interview/"/>
    </mc:Choice>
  </mc:AlternateContent>
  <xr:revisionPtr revIDLastSave="0" documentId="8_{260FDCB8-BDBD-4CE0-BE57-E20088F31C7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 file" sheetId="1" r:id="rId1"/>
    <sheet name="Final" sheetId="3" r:id="rId2"/>
    <sheet name="expected outpu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" i="3"/>
  <c r="T6" i="3"/>
  <c r="S10" i="3"/>
  <c r="P3" i="3"/>
  <c r="P4" i="3"/>
  <c r="P5" i="3"/>
  <c r="P6" i="3"/>
  <c r="P7" i="3"/>
  <c r="P8" i="3"/>
  <c r="P9" i="3"/>
  <c r="P11" i="3"/>
  <c r="P12" i="3"/>
  <c r="P13" i="3"/>
  <c r="P14" i="3"/>
  <c r="P15" i="3"/>
  <c r="P16" i="3"/>
  <c r="P17" i="3"/>
  <c r="P19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" i="3"/>
  <c r="J6" i="3"/>
  <c r="L3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K3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J5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3" i="3"/>
  <c r="J4" i="3"/>
  <c r="I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D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" i="3"/>
  <c r="N3" i="3"/>
  <c r="N5" i="3"/>
  <c r="N7" i="3"/>
  <c r="N8" i="3"/>
  <c r="N9" i="3"/>
  <c r="N11" i="3"/>
  <c r="N12" i="3"/>
  <c r="N13" i="3"/>
  <c r="N14" i="3"/>
  <c r="N15" i="3"/>
  <c r="N17" i="3"/>
  <c r="N18" i="3"/>
  <c r="R6" i="3"/>
  <c r="R11" i="3"/>
  <c r="R13" i="3"/>
  <c r="R16" i="3"/>
  <c r="R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C3" i="3"/>
  <c r="C4" i="3"/>
  <c r="C5" i="3"/>
  <c r="C7" i="3"/>
  <c r="C11" i="3"/>
  <c r="C13" i="3"/>
  <c r="C14" i="3"/>
  <c r="C16" i="3"/>
  <c r="C17" i="3"/>
  <c r="C19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" i="3"/>
  <c r="X6" i="1"/>
  <c r="X11" i="1"/>
  <c r="X13" i="1"/>
  <c r="X16" i="1"/>
  <c r="X18" i="1"/>
  <c r="X19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" i="1"/>
  <c r="V3" i="1" a="1"/>
  <c r="V3" i="1" s="1"/>
  <c r="V5" i="1" a="1"/>
  <c r="V5" i="1"/>
  <c r="V6" i="1" a="1"/>
  <c r="V6" i="1" s="1"/>
  <c r="V7" i="1" a="1"/>
  <c r="V7" i="1" s="1"/>
  <c r="V8" i="1" a="1"/>
  <c r="V8" i="1"/>
  <c r="V9" i="1" a="1"/>
  <c r="V9" i="1" s="1"/>
  <c r="V10" i="1" a="1"/>
  <c r="V10" i="1" s="1"/>
  <c r="V11" i="1" a="1"/>
  <c r="V11" i="1"/>
  <c r="V12" i="1" a="1"/>
  <c r="V12" i="1"/>
  <c r="V13" i="1" a="1"/>
  <c r="V13" i="1"/>
  <c r="V14" i="1" a="1"/>
  <c r="V14" i="1" s="1"/>
  <c r="V15" i="1" a="1"/>
  <c r="V15" i="1"/>
  <c r="V16" i="1" a="1"/>
  <c r="V16" i="1" s="1"/>
  <c r="V17" i="1" a="1"/>
  <c r="V17" i="1" s="1"/>
  <c r="V18" i="1" a="1"/>
  <c r="V18" i="1"/>
  <c r="V19" i="1" a="1"/>
  <c r="V19" i="1" s="1"/>
  <c r="U3" i="1" a="1"/>
  <c r="U3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T3" i="1" a="1"/>
  <c r="T3" i="1" s="1"/>
  <c r="T5" i="1" a="1"/>
  <c r="T5" i="1"/>
  <c r="T6" i="1" a="1"/>
  <c r="T6" i="1" s="1"/>
  <c r="T7" i="1" a="1"/>
  <c r="T7" i="1" s="1"/>
  <c r="T8" i="1" a="1"/>
  <c r="T8" i="1"/>
  <c r="T9" i="1" a="1"/>
  <c r="T9" i="1" s="1"/>
  <c r="T10" i="1" a="1"/>
  <c r="T10" i="1" s="1"/>
  <c r="T11" i="1" a="1"/>
  <c r="T11" i="1" s="1"/>
  <c r="T12" i="1" a="1"/>
  <c r="T12" i="1"/>
  <c r="T13" i="1" a="1"/>
  <c r="T13" i="1" s="1"/>
  <c r="T14" i="1" a="1"/>
  <c r="T14" i="1" s="1"/>
  <c r="T15" i="1" a="1"/>
  <c r="T15" i="1"/>
  <c r="T16" i="1" a="1"/>
  <c r="T16" i="1" s="1"/>
  <c r="T17" i="1" a="1"/>
  <c r="T17" i="1" s="1"/>
  <c r="T18" i="1" a="1"/>
  <c r="T18" i="1"/>
  <c r="T19" i="1" a="1"/>
  <c r="T19" i="1"/>
  <c r="S3" i="1" a="1"/>
  <c r="S3" i="1"/>
  <c r="S5" i="1" a="1"/>
  <c r="S5" i="1" s="1"/>
  <c r="S6" i="1" a="1"/>
  <c r="S6" i="1"/>
  <c r="S7" i="1" a="1"/>
  <c r="S7" i="1"/>
  <c r="S8" i="1" a="1"/>
  <c r="S8" i="1"/>
  <c r="S9" i="1" a="1"/>
  <c r="S9" i="1"/>
  <c r="S10" i="1" a="1"/>
  <c r="S10" i="1"/>
  <c r="S11" i="1" a="1"/>
  <c r="S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R3" i="1" a="1"/>
  <c r="R3" i="1"/>
  <c r="R4" i="1" a="1"/>
  <c r="R4" i="1"/>
  <c r="R5" i="1" a="1"/>
  <c r="R5" i="1" s="1"/>
  <c r="R6" i="1" a="1"/>
  <c r="R6" i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 s="1"/>
  <c r="R15" i="1" a="1"/>
  <c r="R15" i="1" s="1"/>
  <c r="R16" i="1" a="1"/>
  <c r="R16" i="1" s="1"/>
  <c r="R17" i="1" a="1"/>
  <c r="R17" i="1"/>
  <c r="R18" i="1" a="1"/>
  <c r="R18" i="1"/>
  <c r="R19" i="1" a="1"/>
  <c r="R19" i="1"/>
  <c r="R2" i="1" a="1"/>
  <c r="R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<sst xmlns="http://schemas.openxmlformats.org/spreadsheetml/2006/main" count="411" uniqueCount="237">
  <si>
    <t>Client ID</t>
  </si>
  <si>
    <t>First Name</t>
  </si>
  <si>
    <t>MiddleName</t>
  </si>
  <si>
    <t>Last Name</t>
  </si>
  <si>
    <t>Company</t>
  </si>
  <si>
    <t>Address</t>
  </si>
  <si>
    <t>Home Fax</t>
  </si>
  <si>
    <t>Mobile Phone</t>
  </si>
  <si>
    <t>Contact Group</t>
  </si>
  <si>
    <t>E-mail Address</t>
  </si>
  <si>
    <t>Web Page</t>
  </si>
  <si>
    <t>Birthday</t>
  </si>
  <si>
    <t>Private Notes</t>
  </si>
  <si>
    <t>License Number</t>
  </si>
  <si>
    <t>Cases</t>
  </si>
  <si>
    <t>Case Link IDs</t>
  </si>
  <si>
    <t>William</t>
  </si>
  <si>
    <t>Tim</t>
  </si>
  <si>
    <t>Barretta</t>
  </si>
  <si>
    <t xml:space="preserve">     </t>
  </si>
  <si>
    <t>Client</t>
  </si>
  <si>
    <t>William            Barretta</t>
  </si>
  <si>
    <t>Khaled</t>
  </si>
  <si>
    <t>Kayne</t>
  </si>
  <si>
    <t>Kamel</t>
  </si>
  <si>
    <t>2926 N Raine Blvd. 6, Tucson, State 1 11111</t>
  </si>
  <si>
    <t>(555) 555-5555</t>
  </si>
  <si>
    <t>user1@email.com</t>
  </si>
  <si>
    <t xml:space="preserve">Khaled Kamel      </t>
  </si>
  <si>
    <t>Dumisani</t>
  </si>
  <si>
    <t>Tembo</t>
  </si>
  <si>
    <t>email@domain.com</t>
  </si>
  <si>
    <t>People     v.      Tembo,       Dumisani</t>
  </si>
  <si>
    <t>Khanh</t>
  </si>
  <si>
    <t>Dee</t>
  </si>
  <si>
    <t>Dao</t>
  </si>
  <si>
    <t>435 N. Congress Ave., #180,  St Petersburg, State 2 11111</t>
  </si>
  <si>
    <t>(111) 852-4480</t>
  </si>
  <si>
    <t>Someone@box.com</t>
  </si>
  <si>
    <t>Khanh Dao</t>
  </si>
  <si>
    <t>Anmar</t>
  </si>
  <si>
    <t>Saad</t>
  </si>
  <si>
    <t>1234 Highland Square Lane,  Denver, State 3 11111</t>
  </si>
  <si>
    <t>mahmood@email.com</t>
  </si>
  <si>
    <t>F7390729</t>
  </si>
  <si>
    <t>Anmar    Saad</t>
  </si>
  <si>
    <t>Victor</t>
  </si>
  <si>
    <t>Henry</t>
  </si>
  <si>
    <t>Colonnese</t>
  </si>
  <si>
    <t>PO Box 200059,  Hollywood, State 4 11111</t>
  </si>
  <si>
    <t>(222) 987-1653</t>
  </si>
  <si>
    <t>barry@email.com</t>
  </si>
  <si>
    <t>Dorothy      Fujii</t>
  </si>
  <si>
    <t>Amol</t>
  </si>
  <si>
    <t>Hardikar</t>
  </si>
  <si>
    <t>200 Perry Street, Apt. 1505,  Dallas, State 5 11111</t>
  </si>
  <si>
    <t>(543) 471-2543</t>
  </si>
  <si>
    <t>Time01@email.com</t>
  </si>
  <si>
    <t>Amol Hardikar</t>
  </si>
  <si>
    <t>Tacktook</t>
  </si>
  <si>
    <t>Tachtook</t>
  </si>
  <si>
    <t>20 Barry Court Apt 203, Boston, State 6 11111</t>
  </si>
  <si>
    <t>(634) 684-6543</t>
  </si>
  <si>
    <t>dom@domain.com</t>
  </si>
  <si>
    <t>Tacktook      Tachtook v. Alison Aylsworth</t>
  </si>
  <si>
    <t>John</t>
  </si>
  <si>
    <t>Doe</t>
  </si>
  <si>
    <t xml:space="preserve">123 Main St.,  Santa Ana, State 7 11111 </t>
  </si>
  <si>
    <t>This is a sample contact.</t>
  </si>
  <si>
    <t>[SAMPLE] John            Doe Matter</t>
  </si>
  <si>
    <t>Marjorie</t>
  </si>
  <si>
    <t xml:space="preserve">                                </t>
  </si>
  <si>
    <t>Nishimata</t>
  </si>
  <si>
    <t>223 Greaterwealth Avenue Unit 70, Davie, State 8 11111</t>
  </si>
  <si>
    <t>(654) 673-9965</t>
  </si>
  <si>
    <t>email@klhj.com</t>
  </si>
  <si>
    <t>Marjorie      Nishimata</t>
  </si>
  <si>
    <t>Hamdy</t>
  </si>
  <si>
    <t>Fayad</t>
  </si>
  <si>
    <t>2036 Bryan Street,  Houston, State 9 11111</t>
  </si>
  <si>
    <t>dkhnfds@emial.com</t>
  </si>
  <si>
    <t>King   Market/SFDPH</t>
  </si>
  <si>
    <t>Jaime</t>
  </si>
  <si>
    <t>Lee</t>
  </si>
  <si>
    <t>Hersey</t>
  </si>
  <si>
    <t>99 W 10th Avenue Unit 14D,  Flint, State 10 11111</t>
  </si>
  <si>
    <t>me@aaa.com</t>
  </si>
  <si>
    <t>IRMO Hersey &amp; Banahan</t>
  </si>
  <si>
    <t>Andrew</t>
  </si>
  <si>
    <t>Rosete</t>
  </si>
  <si>
    <t>Valencia</t>
  </si>
  <si>
    <t>100 Hylein, Unit 4,  Tampa, State 11 11111</t>
  </si>
  <si>
    <t>(510) 334-7706</t>
  </si>
  <si>
    <t>fhasdj@domain.com</t>
  </si>
  <si>
    <t>IRMO Valencia</t>
  </si>
  <si>
    <t>Yen-Ming</t>
  </si>
  <si>
    <t>Hou</t>
  </si>
  <si>
    <t>901 Skycreek Drive #87, Miami, State 12 11111</t>
  </si>
  <si>
    <t>(650) 862-7558</t>
  </si>
  <si>
    <t>abc2932496@email.com</t>
  </si>
  <si>
    <t>IRMO       Mulroy &amp; Hou</t>
  </si>
  <si>
    <t>Matthew</t>
  </si>
  <si>
    <t>Phil</t>
  </si>
  <si>
    <t>Bryant</t>
  </si>
  <si>
    <t>4009 Bayle Street, Apt 803,  Seattle, State 13 11111</t>
  </si>
  <si>
    <t>mandatory@email.com</t>
  </si>
  <si>
    <t>Matthew Bryant</t>
  </si>
  <si>
    <t>Brittany</t>
  </si>
  <si>
    <t>Christine</t>
  </si>
  <si>
    <t>Scanlan</t>
  </si>
  <si>
    <t>101 Boardway Ave., Apt.#21,  Fort Lauderdale, State 14 11111</t>
  </si>
  <si>
    <t>(650) 580-4455 or (564) 189-2467</t>
  </si>
  <si>
    <t>bri@aaaaa.com</t>
  </si>
  <si>
    <t>IRMO Scanlan</t>
  </si>
  <si>
    <t>Lauren</t>
  </si>
  <si>
    <t>Gotelli</t>
  </si>
  <si>
    <t>6078 Burneigh Ave., #3,  Orlando, State 15 11111</t>
  </si>
  <si>
    <t>(415) 418-8395</t>
  </si>
  <si>
    <t>Lauren Gotelli</t>
  </si>
  <si>
    <t>Margarita</t>
  </si>
  <si>
    <t xml:space="preserve">                </t>
  </si>
  <si>
    <t>Gutierrez</t>
  </si>
  <si>
    <t>9087 Christmas Drive # 101, Las Vegas, State 16 11111</t>
  </si>
  <si>
    <t>gah@domain.com</t>
  </si>
  <si>
    <t>Margarita Gutierrez</t>
  </si>
  <si>
    <t>Full Name</t>
  </si>
  <si>
    <t>Street1</t>
  </si>
  <si>
    <t>Street2</t>
  </si>
  <si>
    <t>City</t>
  </si>
  <si>
    <t>State</t>
  </si>
  <si>
    <t>Zipcode</t>
  </si>
  <si>
    <t>Barretta, William Tim</t>
  </si>
  <si>
    <t/>
  </si>
  <si>
    <t>William Barretta</t>
  </si>
  <si>
    <t>Kamel, Khaled Kayne</t>
  </si>
  <si>
    <t>2926 N Raine</t>
  </si>
  <si>
    <t>Blvd. 6</t>
  </si>
  <si>
    <t>Tucson</t>
  </si>
  <si>
    <t>State 1</t>
  </si>
  <si>
    <t>Khaled Kamel</t>
  </si>
  <si>
    <t>Tembo, Dumisani</t>
  </si>
  <si>
    <t>People v. Tembo, Dumisani</t>
  </si>
  <si>
    <t>Dao, Khanh Dee</t>
  </si>
  <si>
    <t>435 N. Congress Ave.</t>
  </si>
  <si>
    <t>#180</t>
  </si>
  <si>
    <t>St Petersburg</t>
  </si>
  <si>
    <t>State 2</t>
  </si>
  <si>
    <t>Saad, Anmar</t>
  </si>
  <si>
    <t>1234 Highland Square Lane</t>
  </si>
  <si>
    <t>Denver</t>
  </si>
  <si>
    <t>State 3</t>
  </si>
  <si>
    <t>Anmar Saad</t>
  </si>
  <si>
    <t>Colonnese, Victor Henry</t>
  </si>
  <si>
    <t>PO Box 200059</t>
  </si>
  <si>
    <t>Hollywood</t>
  </si>
  <si>
    <t>State 4</t>
  </si>
  <si>
    <t>Dorothy Fujii</t>
  </si>
  <si>
    <t>Hardikar, Amol</t>
  </si>
  <si>
    <t>200 Perry Street</t>
  </si>
  <si>
    <t>Apt. 1505</t>
  </si>
  <si>
    <t>Dallas</t>
  </si>
  <si>
    <t>State 5</t>
  </si>
  <si>
    <t>Tachtook, Tacktook</t>
  </si>
  <si>
    <t>20 Barry Court</t>
  </si>
  <si>
    <t>Apt 203</t>
  </si>
  <si>
    <t>Boston</t>
  </si>
  <si>
    <t>State 6</t>
  </si>
  <si>
    <t>Tacktook Tachtook v. Alison Aylsworth</t>
  </si>
  <si>
    <t>Doe, John</t>
  </si>
  <si>
    <t>123 Main St.</t>
  </si>
  <si>
    <t>Santa Ana</t>
  </si>
  <si>
    <t>State 7</t>
  </si>
  <si>
    <t>[SAMPLE] John Doe Matter</t>
  </si>
  <si>
    <t>Nishimata, Marjorie</t>
  </si>
  <si>
    <t>223 Greaterwealth Avenue</t>
  </si>
  <si>
    <t>Unit 70</t>
  </si>
  <si>
    <t>Davie</t>
  </si>
  <si>
    <t>State 8</t>
  </si>
  <si>
    <t>Marjorie Nishimata</t>
  </si>
  <si>
    <t>Fayad, Hamdy</t>
  </si>
  <si>
    <t>2036 Bryan Street</t>
  </si>
  <si>
    <t>Houston</t>
  </si>
  <si>
    <t>State 9</t>
  </si>
  <si>
    <t>King Market/SFDPH</t>
  </si>
  <si>
    <t>Hersey, Jaime Lee</t>
  </si>
  <si>
    <t>99 W 10th Avenue</t>
  </si>
  <si>
    <t>Unit 14D</t>
  </si>
  <si>
    <t>Flint</t>
  </si>
  <si>
    <t>State 10</t>
  </si>
  <si>
    <t>Valencia, Andrew Rosete</t>
  </si>
  <si>
    <t>100 Hylein</t>
  </si>
  <si>
    <t>Unit 4</t>
  </si>
  <si>
    <t>Tampa</t>
  </si>
  <si>
    <t>State 11</t>
  </si>
  <si>
    <t>Hou, Yen-Ming</t>
  </si>
  <si>
    <t>901 Skycreek Drive</t>
  </si>
  <si>
    <t>#87</t>
  </si>
  <si>
    <t>Miami</t>
  </si>
  <si>
    <t>State 12</t>
  </si>
  <si>
    <t>IRMO Mulroy &amp; Hou</t>
  </si>
  <si>
    <t>Bryant, Matthew Phil</t>
  </si>
  <si>
    <t>4009 Bayle Street</t>
  </si>
  <si>
    <t>Apt 803</t>
  </si>
  <si>
    <t>Seattle</t>
  </si>
  <si>
    <t>State 13</t>
  </si>
  <si>
    <t>Scanlan, Brittany Christine</t>
  </si>
  <si>
    <t>101 Boardway Ave.</t>
  </si>
  <si>
    <t>Apt.#21</t>
  </si>
  <si>
    <t>Fort Lauderdale</t>
  </si>
  <si>
    <t>State 14</t>
  </si>
  <si>
    <t>Gotelli, Lauren</t>
  </si>
  <si>
    <t>6078 Burneigh Ave.</t>
  </si>
  <si>
    <t>#3</t>
  </si>
  <si>
    <t>Orlando</t>
  </si>
  <si>
    <t>State 15</t>
  </si>
  <si>
    <t>Gutierrez, Margarita</t>
  </si>
  <si>
    <t>9087 Christmas Drive</t>
  </si>
  <si>
    <t># 101</t>
  </si>
  <si>
    <t>Las Vegas</t>
  </si>
  <si>
    <t>State 16</t>
  </si>
  <si>
    <t>Helper</t>
  </si>
  <si>
    <t>2926 N Raine, Blvd. 6, Tucson, State 1, 11111</t>
  </si>
  <si>
    <t>435 N. Congress Ave., #180,  St Petersburg, State 2, 11111</t>
  </si>
  <si>
    <t>200 Perry Street, Apt. 1505,  Dallas, State 5, 11111</t>
  </si>
  <si>
    <t>20 Barry Court, Apt 203, Boston, State 6, 11111</t>
  </si>
  <si>
    <t>223 Greaterwealth Avenue, Unit 70, Davie, State 8, 11111</t>
  </si>
  <si>
    <t>99 W 10th Avenue, Unit 14D,  Flint, State 10, 11111</t>
  </si>
  <si>
    <t>100 Hylein, Unit 4,  Tampa, State 11, 11111</t>
  </si>
  <si>
    <t>901 Skycreek Drive, #87, Miami, State 12, 11111</t>
  </si>
  <si>
    <t>4009 Bayle Street, Apt 803,  Seattle, State 13, 11111</t>
  </si>
  <si>
    <t>101 Boardway Ave., Apt.#21,  Fort Lauderdale, State 14, 11111</t>
  </si>
  <si>
    <t>6078 Burneigh Ave., #3,  Orlando, State 15, 11111</t>
  </si>
  <si>
    <t>9087 Christmas Drive, # 101, Las Vegas, State 16, 11111</t>
  </si>
  <si>
    <t>1234 Highland Square Lane, , Denver, State 3, 11111</t>
  </si>
  <si>
    <t>PO Box 200059,  ,Hollywood, State 4, 11111</t>
  </si>
  <si>
    <t xml:space="preserve">123 Main St.,  ,Santa Ana, State 7, 11111 </t>
  </si>
  <si>
    <t>2036 Bryan Street,  ,Houston, State 9, 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</si>
</sst>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rgb="FFC1E4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83CAEB"/>
      </patternFill>
    </fill>
    <fill>
      <patternFill patternType="solid">
        <fgColor theme="4" tint="0.59999389629810485"/>
        <bgColor rgb="FFC1E4F5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0" fillId="2" borderId="0" xfId="0" applyFont="1" applyFill="1"/>
    <xf numFmtId="0" fontId="0" fillId="3" borderId="0" xfId="0" applyFont="1" applyFill="1"/>
    <xf numFmtId="0" fontId="0" fillId="4" borderId="0" xfId="0" applyFill="1"/>
    <xf numFmtId="14" fontId="0" fillId="4" borderId="0" xfId="0" applyNumberFormat="1" applyFill="1"/>
    <xf numFmtId="0" fontId="0" fillId="5" borderId="0" xfId="0" applyFont="1" applyFill="1"/>
    <xf numFmtId="0" fontId="0" fillId="6" borderId="0" xfId="0" applyFont="1" applyFill="1"/>
    <xf numFmtId="0" fontId="0" fillId="7" borderId="0" xfId="0" applyFill="1"/>
    <xf numFmtId="14" fontId="0" fillId="7" borderId="0" xfId="0" applyNumberFormat="1" applyFill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6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Test fil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expected output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20" totalsRowCount="1">
  <tableColumns count="16">
    <tableColumn id="1" xr3:uid="{00000000-0010-0000-0000-000001000000}" name="Client ID"/>
    <tableColumn id="2" xr3:uid="{00000000-0010-0000-0000-000002000000}" name="First Name"/>
    <tableColumn id="3" xr3:uid="{00000000-0010-0000-0000-000003000000}" name="MiddleName"/>
    <tableColumn id="4" xr3:uid="{00000000-0010-0000-0000-000004000000}" name="Last Name"/>
    <tableColumn id="5" xr3:uid="{00000000-0010-0000-0000-000005000000}" name="Company"/>
    <tableColumn id="6" xr3:uid="{00000000-0010-0000-0000-000006000000}" name="Address"/>
    <tableColumn id="7" xr3:uid="{00000000-0010-0000-0000-000007000000}" name="Home Fax"/>
    <tableColumn id="8" xr3:uid="{00000000-0010-0000-0000-000008000000}" name="Mobile Phone"/>
    <tableColumn id="9" xr3:uid="{00000000-0010-0000-0000-000009000000}" name="Contact Group"/>
    <tableColumn id="10" xr3:uid="{00000000-0010-0000-0000-00000A000000}" name="E-mail Address"/>
    <tableColumn id="11" xr3:uid="{00000000-0010-0000-0000-00000B000000}" name="Web Page"/>
    <tableColumn id="12" xr3:uid="{00000000-0010-0000-0000-00000C000000}" name="Birthday"/>
    <tableColumn id="13" xr3:uid="{00000000-0010-0000-0000-00000D000000}" name="Private Notes"/>
    <tableColumn id="14" xr3:uid="{00000000-0010-0000-0000-00000E000000}" name="License Number"/>
    <tableColumn id="15" xr3:uid="{00000000-0010-0000-0000-00000F000000}" name="Cases"/>
    <tableColumn id="16" xr3:uid="{00000000-0010-0000-0000-000010000000}" name="Case Link IDs"/>
  </tableColumns>
  <tableStyleInfo name="Test fi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V19">
  <tableColumns count="22">
    <tableColumn id="1" xr3:uid="{00000000-0010-0000-0100-000001000000}" name="Client ID"/>
    <tableColumn id="2" xr3:uid="{00000000-0010-0000-0100-000002000000}" name="First Name"/>
    <tableColumn id="3" xr3:uid="{00000000-0010-0000-0100-000003000000}" name="MiddleName"/>
    <tableColumn id="4" xr3:uid="{00000000-0010-0000-0100-000004000000}" name="Last Name"/>
    <tableColumn id="5" xr3:uid="{00000000-0010-0000-0100-000005000000}" name="Full Name"/>
    <tableColumn id="6" xr3:uid="{00000000-0010-0000-0100-000006000000}" name="Company"/>
    <tableColumn id="7" xr3:uid="{00000000-0010-0000-0100-000007000000}" name="Address"/>
    <tableColumn id="8" xr3:uid="{00000000-0010-0000-0100-000008000000}" name="Street1"/>
    <tableColumn id="9" xr3:uid="{00000000-0010-0000-0100-000009000000}" name="Street2"/>
    <tableColumn id="10" xr3:uid="{00000000-0010-0000-0100-00000A000000}" name="City"/>
    <tableColumn id="11" xr3:uid="{00000000-0010-0000-0100-00000B000000}" name="State"/>
    <tableColumn id="12" xr3:uid="{00000000-0010-0000-0100-00000C000000}" name="Zipcode"/>
    <tableColumn id="13" xr3:uid="{00000000-0010-0000-0100-00000D000000}" name="Home Fax"/>
    <tableColumn id="14" xr3:uid="{00000000-0010-0000-0100-00000E000000}" name="Mobile Phone"/>
    <tableColumn id="15" xr3:uid="{00000000-0010-0000-0100-00000F000000}" name="Contact Group"/>
    <tableColumn id="16" xr3:uid="{00000000-0010-0000-0100-000010000000}" name="E-mail Address"/>
    <tableColumn id="17" xr3:uid="{00000000-0010-0000-0100-000011000000}" name="Web Page"/>
    <tableColumn id="18" xr3:uid="{00000000-0010-0000-0100-000012000000}" name="Birthday"/>
    <tableColumn id="19" xr3:uid="{00000000-0010-0000-0100-000013000000}" name="Private Notes"/>
    <tableColumn id="20" xr3:uid="{00000000-0010-0000-0100-000014000000}" name="License Number"/>
    <tableColumn id="21" xr3:uid="{00000000-0010-0000-0100-000015000000}" name="Cases"/>
    <tableColumn id="22" xr3:uid="{00000000-0010-0000-0100-000016000000}" name="Case Link IDs"/>
  </tableColumns>
  <tableStyleInfo name="expected outp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klhj.com" TargetMode="External"/><Relationship Id="rId13" Type="http://schemas.openxmlformats.org/officeDocument/2006/relationships/hyperlink" Target="mailto:mandatory@email.com" TargetMode="External"/><Relationship Id="rId3" Type="http://schemas.openxmlformats.org/officeDocument/2006/relationships/hyperlink" Target="mailto:Someone@box.com" TargetMode="External"/><Relationship Id="rId7" Type="http://schemas.openxmlformats.org/officeDocument/2006/relationships/hyperlink" Target="mailto:dom@domain.com" TargetMode="External"/><Relationship Id="rId12" Type="http://schemas.openxmlformats.org/officeDocument/2006/relationships/hyperlink" Target="mailto:abc2932496@email.com" TargetMode="External"/><Relationship Id="rId2" Type="http://schemas.openxmlformats.org/officeDocument/2006/relationships/hyperlink" Target="mailto:email@domain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user1@email.com" TargetMode="External"/><Relationship Id="rId6" Type="http://schemas.openxmlformats.org/officeDocument/2006/relationships/hyperlink" Target="mailto:Time01@email.com" TargetMode="External"/><Relationship Id="rId11" Type="http://schemas.openxmlformats.org/officeDocument/2006/relationships/hyperlink" Target="mailto:fhasdj@domain.com" TargetMode="External"/><Relationship Id="rId5" Type="http://schemas.openxmlformats.org/officeDocument/2006/relationships/hyperlink" Target="mailto:barry@email.com" TargetMode="External"/><Relationship Id="rId15" Type="http://schemas.openxmlformats.org/officeDocument/2006/relationships/hyperlink" Target="mailto:gah@domain.com" TargetMode="External"/><Relationship Id="rId10" Type="http://schemas.openxmlformats.org/officeDocument/2006/relationships/hyperlink" Target="mailto:me@aaa.com" TargetMode="External"/><Relationship Id="rId4" Type="http://schemas.openxmlformats.org/officeDocument/2006/relationships/hyperlink" Target="mailto:mahmood@email.com" TargetMode="External"/><Relationship Id="rId9" Type="http://schemas.openxmlformats.org/officeDocument/2006/relationships/hyperlink" Target="mailto:dkhnfds@emial.com" TargetMode="External"/><Relationship Id="rId14" Type="http://schemas.openxmlformats.org/officeDocument/2006/relationships/hyperlink" Target="mailto:bri@aaaa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klhj.com" TargetMode="External"/><Relationship Id="rId13" Type="http://schemas.openxmlformats.org/officeDocument/2006/relationships/hyperlink" Target="mailto:mandatory@email.com" TargetMode="External"/><Relationship Id="rId3" Type="http://schemas.openxmlformats.org/officeDocument/2006/relationships/hyperlink" Target="mailto:Someone@box.com" TargetMode="External"/><Relationship Id="rId7" Type="http://schemas.openxmlformats.org/officeDocument/2006/relationships/hyperlink" Target="mailto:dom@domain.com" TargetMode="External"/><Relationship Id="rId12" Type="http://schemas.openxmlformats.org/officeDocument/2006/relationships/hyperlink" Target="mailto:abc2932496@email.com" TargetMode="External"/><Relationship Id="rId2" Type="http://schemas.openxmlformats.org/officeDocument/2006/relationships/hyperlink" Target="mailto:email@domain.com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user1@email.com" TargetMode="External"/><Relationship Id="rId6" Type="http://schemas.openxmlformats.org/officeDocument/2006/relationships/hyperlink" Target="mailto:Time01@email.com" TargetMode="External"/><Relationship Id="rId11" Type="http://schemas.openxmlformats.org/officeDocument/2006/relationships/hyperlink" Target="mailto:fhasdj@domain.com" TargetMode="External"/><Relationship Id="rId5" Type="http://schemas.openxmlformats.org/officeDocument/2006/relationships/hyperlink" Target="mailto:barry@email.com" TargetMode="External"/><Relationship Id="rId15" Type="http://schemas.openxmlformats.org/officeDocument/2006/relationships/hyperlink" Target="mailto:gah@domain.com" TargetMode="External"/><Relationship Id="rId10" Type="http://schemas.openxmlformats.org/officeDocument/2006/relationships/hyperlink" Target="mailto:me@aaa.com" TargetMode="External"/><Relationship Id="rId4" Type="http://schemas.openxmlformats.org/officeDocument/2006/relationships/hyperlink" Target="mailto:mahmood@email.com" TargetMode="External"/><Relationship Id="rId9" Type="http://schemas.openxmlformats.org/officeDocument/2006/relationships/hyperlink" Target="mailto:dkhnfds@emial.com" TargetMode="External"/><Relationship Id="rId14" Type="http://schemas.openxmlformats.org/officeDocument/2006/relationships/hyperlink" Target="mailto:bri@aaa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M1" workbookViewId="0">
      <selection activeCell="U3" sqref="U3"/>
    </sheetView>
  </sheetViews>
  <sheetFormatPr defaultColWidth="12.6640625" defaultRowHeight="15" customHeight="1" x14ac:dyDescent="0.3"/>
  <cols>
    <col min="1" max="4" width="9.77734375" customWidth="1"/>
    <col min="5" max="5" width="8.6640625" customWidth="1"/>
    <col min="6" max="6" width="50.6640625" bestFit="1" customWidth="1"/>
    <col min="7" max="7" width="10.6640625" customWidth="1"/>
    <col min="8" max="8" width="14.77734375" customWidth="1"/>
    <col min="9" max="9" width="15.33203125" customWidth="1"/>
    <col min="10" max="10" width="16.21875" customWidth="1"/>
    <col min="11" max="11" width="16.6640625" customWidth="1"/>
    <col min="12" max="12" width="12" customWidth="1"/>
    <col min="13" max="13" width="10.6640625" customWidth="1"/>
    <col min="14" max="14" width="15.21875" customWidth="1"/>
    <col min="15" max="15" width="35.21875" customWidth="1"/>
    <col min="16" max="16" width="8.6640625" customWidth="1"/>
    <col min="17" max="17" width="22.33203125" bestFit="1" customWidth="1"/>
    <col min="18" max="18" width="28.44140625" bestFit="1" customWidth="1"/>
    <col min="19" max="19" width="9.33203125" bestFit="1" customWidth="1"/>
    <col min="20" max="22" width="8.6640625" customWidth="1"/>
    <col min="23" max="23" width="31.44140625" bestFit="1" customWidth="1"/>
    <col min="24" max="26" width="8.6640625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14</v>
      </c>
      <c r="X1" t="s">
        <v>11</v>
      </c>
    </row>
    <row r="2" spans="1:24" ht="14.4" x14ac:dyDescent="0.3">
      <c r="A2" s="1">
        <v>7398191</v>
      </c>
      <c r="B2" s="1" t="s">
        <v>16</v>
      </c>
      <c r="C2" s="1" t="s">
        <v>17</v>
      </c>
      <c r="D2" s="1" t="s">
        <v>18</v>
      </c>
      <c r="E2" s="1"/>
      <c r="F2" s="1" t="s">
        <v>19</v>
      </c>
      <c r="G2" s="1"/>
      <c r="H2" s="1"/>
      <c r="I2" s="1" t="s">
        <v>20</v>
      </c>
      <c r="J2" s="1"/>
      <c r="K2" s="1"/>
      <c r="L2" s="1"/>
      <c r="M2" s="1"/>
      <c r="N2" s="1"/>
      <c r="O2" s="1" t="s">
        <v>21</v>
      </c>
      <c r="P2" s="1">
        <v>3783285</v>
      </c>
      <c r="Q2" t="str">
        <f>TRIM(D2 &amp; ", " &amp; B2 &amp; " " &amp; C2)</f>
        <v>Barretta, William Tim</v>
      </c>
      <c r="R2" t="str" cm="1">
        <f t="array" ref="R2">TRIM(INDEX(_xlfn.TEXTSPLIT(F2,","),1))</f>
        <v/>
      </c>
      <c r="W2" t="str">
        <f>TRIM(CLEAN(O2))</f>
        <v>William Barretta</v>
      </c>
    </row>
    <row r="3" spans="1:24" ht="14.4" x14ac:dyDescent="0.3">
      <c r="A3" s="1">
        <v>7439820</v>
      </c>
      <c r="B3" s="1" t="s">
        <v>22</v>
      </c>
      <c r="C3" s="1" t="s">
        <v>23</v>
      </c>
      <c r="D3" s="1" t="s">
        <v>24</v>
      </c>
      <c r="E3" s="1"/>
      <c r="F3" s="1" t="s">
        <v>221</v>
      </c>
      <c r="G3" s="1"/>
      <c r="H3" s="1" t="s">
        <v>26</v>
      </c>
      <c r="I3" s="1" t="s">
        <v>20</v>
      </c>
      <c r="J3" s="2" t="s">
        <v>27</v>
      </c>
      <c r="K3" s="1"/>
      <c r="L3" s="1"/>
      <c r="M3" s="1"/>
      <c r="N3" s="1"/>
      <c r="O3" s="1" t="s">
        <v>28</v>
      </c>
      <c r="P3" s="1">
        <v>3810123</v>
      </c>
      <c r="Q3" t="str">
        <f t="shared" ref="Q3:Q19" si="0">TRIM(D3 &amp; ", " &amp; B3 &amp; " " &amp; C3)</f>
        <v>Kamel, Khaled Kayne</v>
      </c>
      <c r="R3" t="str" cm="1">
        <f t="array" ref="R3">TRIM(INDEX(_xlfn.TEXTSPLIT(F3,","),1))</f>
        <v>2926 N Raine</v>
      </c>
      <c r="S3" t="str" cm="1">
        <f t="array" ref="S3">TRIM(INDEX(_xlfn.TEXTSPLIT(F3,","),2))</f>
        <v>Blvd. 6</v>
      </c>
      <c r="T3" t="str" cm="1">
        <f t="array" ref="T3">TRIM(INDEX(_xlfn.TEXTSPLIT(F3,","),3))</f>
        <v>Tucson</v>
      </c>
      <c r="U3" t="str" cm="1">
        <f t="array" ref="U3">TRIM(INDEX(_xlfn.TEXTSPLIT(F3,","),4))</f>
        <v>State 1</v>
      </c>
      <c r="V3" t="str" cm="1">
        <f t="array" ref="V3">TRIM(INDEX(_xlfn.TEXTSPLIT(F3,","),5))</f>
        <v>11111</v>
      </c>
      <c r="W3" t="str">
        <f t="shared" ref="W3:W19" si="1">TRIM(CLEAN(O3))</f>
        <v>Khaled Kamel</v>
      </c>
    </row>
    <row r="4" spans="1:24" ht="14.4" x14ac:dyDescent="0.3">
      <c r="A4" s="1">
        <v>7451828</v>
      </c>
      <c r="B4" s="1" t="s">
        <v>29</v>
      </c>
      <c r="C4" s="1" t="s">
        <v>19</v>
      </c>
      <c r="D4" s="1" t="s">
        <v>30</v>
      </c>
      <c r="E4" s="1"/>
      <c r="F4" s="1" t="s">
        <v>19</v>
      </c>
      <c r="G4" s="1"/>
      <c r="H4" s="1"/>
      <c r="I4" s="1" t="s">
        <v>20</v>
      </c>
      <c r="J4" s="2" t="s">
        <v>31</v>
      </c>
      <c r="K4" s="1"/>
      <c r="L4" s="1"/>
      <c r="M4" s="1"/>
      <c r="N4" s="1"/>
      <c r="O4" s="1" t="s">
        <v>32</v>
      </c>
      <c r="P4" s="1">
        <v>3820215</v>
      </c>
      <c r="Q4" t="str">
        <f t="shared" si="0"/>
        <v>Tembo, Dumisani</v>
      </c>
      <c r="R4" t="str" cm="1">
        <f t="array" ref="R4">TRIM(INDEX(_xlfn.TEXTSPLIT(F4,","),1))</f>
        <v/>
      </c>
      <c r="W4" t="str">
        <f t="shared" si="1"/>
        <v>People v. Tembo, Dumisani</v>
      </c>
    </row>
    <row r="5" spans="1:24" ht="14.4" x14ac:dyDescent="0.3">
      <c r="A5" s="1">
        <v>7871642</v>
      </c>
      <c r="B5" s="1" t="s">
        <v>33</v>
      </c>
      <c r="C5" s="1" t="s">
        <v>34</v>
      </c>
      <c r="D5" s="1" t="s">
        <v>35</v>
      </c>
      <c r="E5" s="1"/>
      <c r="F5" s="1" t="s">
        <v>222</v>
      </c>
      <c r="G5" s="1"/>
      <c r="H5" s="1" t="s">
        <v>37</v>
      </c>
      <c r="I5" s="1" t="s">
        <v>20</v>
      </c>
      <c r="J5" s="2" t="s">
        <v>38</v>
      </c>
      <c r="K5" s="1"/>
      <c r="L5" s="1"/>
      <c r="M5" s="1"/>
      <c r="N5" s="1"/>
      <c r="O5" s="1" t="s">
        <v>39</v>
      </c>
      <c r="P5" s="1">
        <v>4066854</v>
      </c>
      <c r="Q5" t="str">
        <f t="shared" si="0"/>
        <v>Dao, Khanh Dee</v>
      </c>
      <c r="R5" t="str" cm="1">
        <f t="array" ref="R5">TRIM(INDEX(_xlfn.TEXTSPLIT(F5,","),1))</f>
        <v>435 N. Congress Ave.</v>
      </c>
      <c r="S5" t="str" cm="1">
        <f t="array" ref="S5">TRIM(INDEX(_xlfn.TEXTSPLIT(F5,","),2))</f>
        <v>#180</v>
      </c>
      <c r="T5" t="str" cm="1">
        <f t="array" ref="T5">TRIM(INDEX(_xlfn.TEXTSPLIT(F5,","),3))</f>
        <v>St Petersburg</v>
      </c>
      <c r="U5" t="str" cm="1">
        <f t="array" ref="U5">TRIM(INDEX(_xlfn.TEXTSPLIT(F5,","),4))</f>
        <v>State 2</v>
      </c>
      <c r="V5" t="str" cm="1">
        <f t="array" ref="V5">TRIM(INDEX(_xlfn.TEXTSPLIT(F5,","),5))</f>
        <v>11111</v>
      </c>
      <c r="W5" t="str">
        <f t="shared" si="1"/>
        <v>Khanh Dao</v>
      </c>
    </row>
    <row r="6" spans="1:24" ht="14.4" x14ac:dyDescent="0.3">
      <c r="A6" s="1">
        <v>8004314</v>
      </c>
      <c r="B6" s="1" t="s">
        <v>40</v>
      </c>
      <c r="C6" s="1"/>
      <c r="D6" s="1" t="s">
        <v>41</v>
      </c>
      <c r="E6" s="1"/>
      <c r="F6" s="1" t="s">
        <v>233</v>
      </c>
      <c r="G6" s="1"/>
      <c r="H6" s="1"/>
      <c r="I6" s="1" t="s">
        <v>20</v>
      </c>
      <c r="J6" s="2" t="s">
        <v>43</v>
      </c>
      <c r="K6" s="1"/>
      <c r="L6" s="3">
        <v>31648</v>
      </c>
      <c r="M6" s="1"/>
      <c r="N6" s="1" t="s">
        <v>44</v>
      </c>
      <c r="O6" s="1" t="s">
        <v>45</v>
      </c>
      <c r="P6" s="1">
        <v>4134776</v>
      </c>
      <c r="Q6" t="str">
        <f t="shared" si="0"/>
        <v>Saad, Anmar</v>
      </c>
      <c r="R6" t="str" cm="1">
        <f t="array" ref="R6">TRIM(INDEX(_xlfn.TEXTSPLIT(F6,","),1))</f>
        <v>1234 Highland Square Lane</v>
      </c>
      <c r="S6" t="str" cm="1">
        <f t="array" ref="S6">TRIM(INDEX(_xlfn.TEXTSPLIT(F6,","),2))</f>
        <v/>
      </c>
      <c r="T6" t="str" cm="1">
        <f t="array" ref="T6">TRIM(INDEX(_xlfn.TEXTSPLIT(F6,","),3))</f>
        <v>Denver</v>
      </c>
      <c r="U6" t="str" cm="1">
        <f t="array" ref="U6">TRIM(INDEX(_xlfn.TEXTSPLIT(F6,","),4))</f>
        <v>State 3</v>
      </c>
      <c r="V6" t="str" cm="1">
        <f t="array" ref="V6">TRIM(INDEX(_xlfn.TEXTSPLIT(F6,","),5))</f>
        <v>11111</v>
      </c>
      <c r="W6" t="str">
        <f t="shared" si="1"/>
        <v>Anmar Saad</v>
      </c>
      <c r="X6" t="str">
        <f t="shared" ref="X3:X19" si="2">TEXT(L6,"m/d/yyyy")</f>
        <v>8/24/1986</v>
      </c>
    </row>
    <row r="7" spans="1:24" ht="14.4" x14ac:dyDescent="0.3">
      <c r="A7" s="1">
        <v>8393082</v>
      </c>
      <c r="B7" s="1" t="s">
        <v>46</v>
      </c>
      <c r="C7" s="1" t="s">
        <v>47</v>
      </c>
      <c r="D7" s="1" t="s">
        <v>48</v>
      </c>
      <c r="E7" s="1"/>
      <c r="F7" s="1" t="s">
        <v>234</v>
      </c>
      <c r="G7" s="1"/>
      <c r="H7" s="1" t="s">
        <v>50</v>
      </c>
      <c r="I7" s="1" t="s">
        <v>20</v>
      </c>
      <c r="J7" s="2" t="s">
        <v>51</v>
      </c>
      <c r="K7" s="1"/>
      <c r="L7" s="1"/>
      <c r="M7" s="1"/>
      <c r="N7" s="1"/>
      <c r="O7" s="1" t="s">
        <v>52</v>
      </c>
      <c r="P7" s="1">
        <v>4411263</v>
      </c>
      <c r="Q7" t="str">
        <f t="shared" si="0"/>
        <v>Colonnese, Victor Henry</v>
      </c>
      <c r="R7" t="str" cm="1">
        <f t="array" ref="R7">TRIM(INDEX(_xlfn.TEXTSPLIT(F7,","),1))</f>
        <v>PO Box 200059</v>
      </c>
      <c r="S7" t="str" cm="1">
        <f t="array" ref="S7">TRIM(INDEX(_xlfn.TEXTSPLIT(F7,","),2))</f>
        <v/>
      </c>
      <c r="T7" t="str" cm="1">
        <f t="array" ref="T7">TRIM(INDEX(_xlfn.TEXTSPLIT(F7,","),3))</f>
        <v>Hollywood</v>
      </c>
      <c r="U7" t="str" cm="1">
        <f t="array" ref="U7">TRIM(INDEX(_xlfn.TEXTSPLIT(F7,","),4))</f>
        <v>State 4</v>
      </c>
      <c r="V7" t="str" cm="1">
        <f t="array" ref="V7">TRIM(INDEX(_xlfn.TEXTSPLIT(F7,","),5))</f>
        <v>11111</v>
      </c>
      <c r="W7" t="str">
        <f t="shared" si="1"/>
        <v>Dorothy Fujii</v>
      </c>
    </row>
    <row r="8" spans="1:24" ht="14.4" x14ac:dyDescent="0.3">
      <c r="A8" s="1">
        <v>8797264</v>
      </c>
      <c r="B8" s="1" t="s">
        <v>53</v>
      </c>
      <c r="C8" s="1"/>
      <c r="D8" s="1" t="s">
        <v>54</v>
      </c>
      <c r="E8" s="1"/>
      <c r="F8" s="1" t="s">
        <v>223</v>
      </c>
      <c r="G8" s="1"/>
      <c r="H8" s="1" t="s">
        <v>56</v>
      </c>
      <c r="I8" s="1" t="s">
        <v>20</v>
      </c>
      <c r="J8" s="2" t="s">
        <v>57</v>
      </c>
      <c r="K8" s="1"/>
      <c r="L8" s="1"/>
      <c r="M8" s="1"/>
      <c r="N8" s="1"/>
      <c r="O8" s="1" t="s">
        <v>58</v>
      </c>
      <c r="P8" s="1">
        <v>4663111</v>
      </c>
      <c r="Q8" t="str">
        <f t="shared" si="0"/>
        <v>Hardikar, Amol</v>
      </c>
      <c r="R8" t="str" cm="1">
        <f t="array" ref="R8">TRIM(INDEX(_xlfn.TEXTSPLIT(F8,","),1))</f>
        <v>200 Perry Street</v>
      </c>
      <c r="S8" t="str" cm="1">
        <f t="array" ref="S8">TRIM(INDEX(_xlfn.TEXTSPLIT(F8,","),2))</f>
        <v>Apt. 1505</v>
      </c>
      <c r="T8" t="str" cm="1">
        <f t="array" ref="T8">TRIM(INDEX(_xlfn.TEXTSPLIT(F8,","),3))</f>
        <v>Dallas</v>
      </c>
      <c r="U8" t="str" cm="1">
        <f t="array" ref="U8">TRIM(INDEX(_xlfn.TEXTSPLIT(F8,","),4))</f>
        <v>State 5</v>
      </c>
      <c r="V8" t="str" cm="1">
        <f t="array" ref="V8">TRIM(INDEX(_xlfn.TEXTSPLIT(F8,","),5))</f>
        <v>11111</v>
      </c>
      <c r="W8" t="str">
        <f t="shared" si="1"/>
        <v>Amol Hardikar</v>
      </c>
    </row>
    <row r="9" spans="1:24" ht="14.4" x14ac:dyDescent="0.3">
      <c r="A9" s="1">
        <v>8886849</v>
      </c>
      <c r="B9" s="1" t="s">
        <v>59</v>
      </c>
      <c r="C9" s="1"/>
      <c r="D9" s="1" t="s">
        <v>60</v>
      </c>
      <c r="E9" s="1"/>
      <c r="F9" s="1" t="s">
        <v>224</v>
      </c>
      <c r="G9" s="1"/>
      <c r="H9" s="1" t="s">
        <v>62</v>
      </c>
      <c r="I9" s="1" t="s">
        <v>20</v>
      </c>
      <c r="J9" s="2" t="s">
        <v>63</v>
      </c>
      <c r="K9" s="1"/>
      <c r="L9" s="1"/>
      <c r="M9" s="1"/>
      <c r="N9" s="1"/>
      <c r="O9" s="1" t="s">
        <v>64</v>
      </c>
      <c r="P9" s="1">
        <v>4723026</v>
      </c>
      <c r="Q9" t="str">
        <f t="shared" si="0"/>
        <v>Tachtook, Tacktook</v>
      </c>
      <c r="R9" t="str" cm="1">
        <f t="array" ref="R9">TRIM(INDEX(_xlfn.TEXTSPLIT(F9,","),1))</f>
        <v>20 Barry Court</v>
      </c>
      <c r="S9" t="str" cm="1">
        <f t="array" ref="S9">TRIM(INDEX(_xlfn.TEXTSPLIT(F9,","),2))</f>
        <v>Apt 203</v>
      </c>
      <c r="T9" t="str" cm="1">
        <f t="array" ref="T9">TRIM(INDEX(_xlfn.TEXTSPLIT(F9,","),3))</f>
        <v>Boston</v>
      </c>
      <c r="U9" t="str" cm="1">
        <f t="array" ref="U9">TRIM(INDEX(_xlfn.TEXTSPLIT(F9,","),4))</f>
        <v>State 6</v>
      </c>
      <c r="V9" t="str" cm="1">
        <f t="array" ref="V9">TRIM(INDEX(_xlfn.TEXTSPLIT(F9,","),5))</f>
        <v>11111</v>
      </c>
      <c r="W9" t="str">
        <f t="shared" si="1"/>
        <v>Tacktook Tachtook v. Alison Aylsworth</v>
      </c>
    </row>
    <row r="10" spans="1:24" ht="14.4" x14ac:dyDescent="0.3">
      <c r="A10" s="1">
        <v>14280362</v>
      </c>
      <c r="B10" s="1" t="s">
        <v>65</v>
      </c>
      <c r="C10" s="1"/>
      <c r="D10" s="1" t="s">
        <v>66</v>
      </c>
      <c r="E10" s="1"/>
      <c r="F10" s="1" t="s">
        <v>235</v>
      </c>
      <c r="G10" s="1"/>
      <c r="H10" s="1"/>
      <c r="I10" s="1" t="s">
        <v>20</v>
      </c>
      <c r="J10" s="1"/>
      <c r="K10" s="1"/>
      <c r="L10" s="1"/>
      <c r="M10" s="1" t="s">
        <v>68</v>
      </c>
      <c r="N10" s="1"/>
      <c r="O10" s="1" t="s">
        <v>69</v>
      </c>
      <c r="P10" s="1">
        <v>8536109</v>
      </c>
      <c r="Q10" t="str">
        <f t="shared" si="0"/>
        <v>Doe, John</v>
      </c>
      <c r="R10" t="str" cm="1">
        <f t="array" ref="R10">TRIM(INDEX(_xlfn.TEXTSPLIT(F10,","),1))</f>
        <v>123 Main St.</v>
      </c>
      <c r="S10" t="str" cm="1">
        <f t="array" ref="S10">TRIM(INDEX(_xlfn.TEXTSPLIT(F10,","),2))</f>
        <v/>
      </c>
      <c r="T10" t="str" cm="1">
        <f t="array" ref="T10">TRIM(INDEX(_xlfn.TEXTSPLIT(F10,","),3))</f>
        <v>Santa Ana</v>
      </c>
      <c r="U10" t="str" cm="1">
        <f t="array" ref="U10">TRIM(INDEX(_xlfn.TEXTSPLIT(F10,","),4))</f>
        <v>State 7</v>
      </c>
      <c r="V10" t="str" cm="1">
        <f t="array" ref="V10">TRIM(INDEX(_xlfn.TEXTSPLIT(F10,","),5))</f>
        <v>11111</v>
      </c>
      <c r="W10" t="str">
        <f t="shared" si="1"/>
        <v>[SAMPLE] John Doe Matter</v>
      </c>
    </row>
    <row r="11" spans="1:24" ht="14.4" x14ac:dyDescent="0.3">
      <c r="A11" s="1">
        <v>14280377</v>
      </c>
      <c r="B11" s="1" t="s">
        <v>70</v>
      </c>
      <c r="C11" s="1" t="s">
        <v>71</v>
      </c>
      <c r="D11" s="1" t="s">
        <v>72</v>
      </c>
      <c r="E11" s="1"/>
      <c r="F11" s="1" t="s">
        <v>225</v>
      </c>
      <c r="G11" s="1"/>
      <c r="H11" s="1" t="s">
        <v>74</v>
      </c>
      <c r="I11" s="1" t="s">
        <v>20</v>
      </c>
      <c r="J11" s="2" t="s">
        <v>75</v>
      </c>
      <c r="K11" s="1"/>
      <c r="L11" s="3">
        <v>27130</v>
      </c>
      <c r="M11" s="1"/>
      <c r="N11" s="1"/>
      <c r="O11" s="1" t="s">
        <v>76</v>
      </c>
      <c r="P11" s="1">
        <v>8536123</v>
      </c>
      <c r="Q11" t="str">
        <f t="shared" si="0"/>
        <v>Nishimata, Marjorie</v>
      </c>
      <c r="R11" t="str" cm="1">
        <f t="array" ref="R11">TRIM(INDEX(_xlfn.TEXTSPLIT(F11,","),1))</f>
        <v>223 Greaterwealth Avenue</v>
      </c>
      <c r="S11" t="str" cm="1">
        <f t="array" ref="S11">TRIM(INDEX(_xlfn.TEXTSPLIT(F11,","),2))</f>
        <v>Unit 70</v>
      </c>
      <c r="T11" t="str" cm="1">
        <f t="array" ref="T11">TRIM(INDEX(_xlfn.TEXTSPLIT(F11,","),3))</f>
        <v>Davie</v>
      </c>
      <c r="U11" t="str" cm="1">
        <f t="array" ref="U11">TRIM(INDEX(_xlfn.TEXTSPLIT(F11,","),4))</f>
        <v>State 8</v>
      </c>
      <c r="V11" t="str" cm="1">
        <f t="array" ref="V11">TRIM(INDEX(_xlfn.TEXTSPLIT(F11,","),5))</f>
        <v>11111</v>
      </c>
      <c r="W11" t="str">
        <f t="shared" si="1"/>
        <v>Marjorie Nishimata</v>
      </c>
      <c r="X11" t="str">
        <f t="shared" si="2"/>
        <v>4/11/1974</v>
      </c>
    </row>
    <row r="12" spans="1:24" ht="14.4" x14ac:dyDescent="0.3">
      <c r="A12" s="1">
        <v>14931136</v>
      </c>
      <c r="B12" s="1" t="s">
        <v>77</v>
      </c>
      <c r="C12" s="1"/>
      <c r="D12" s="1" t="s">
        <v>78</v>
      </c>
      <c r="E12" s="1"/>
      <c r="F12" s="1" t="s">
        <v>236</v>
      </c>
      <c r="G12" s="1"/>
      <c r="H12" s="1">
        <v>7345754375</v>
      </c>
      <c r="I12" s="1" t="s">
        <v>20</v>
      </c>
      <c r="J12" s="2" t="s">
        <v>80</v>
      </c>
      <c r="K12" s="1"/>
      <c r="L12" s="1"/>
      <c r="M12" s="1"/>
      <c r="N12" s="1"/>
      <c r="O12" s="1" t="s">
        <v>81</v>
      </c>
      <c r="P12" s="1">
        <v>8907389</v>
      </c>
      <c r="Q12" t="str">
        <f t="shared" si="0"/>
        <v>Fayad, Hamdy</v>
      </c>
      <c r="R12" t="str" cm="1">
        <f t="array" ref="R12">TRIM(INDEX(_xlfn.TEXTSPLIT(F12,","),1))</f>
        <v>2036 Bryan Street</v>
      </c>
      <c r="S12" t="str" cm="1">
        <f t="array" ref="S12">TRIM(INDEX(_xlfn.TEXTSPLIT(F12,","),2))</f>
        <v/>
      </c>
      <c r="T12" t="str" cm="1">
        <f t="array" ref="T12">TRIM(INDEX(_xlfn.TEXTSPLIT(F12,","),3))</f>
        <v>Houston</v>
      </c>
      <c r="U12" t="str" cm="1">
        <f t="array" ref="U12">TRIM(INDEX(_xlfn.TEXTSPLIT(F12,","),4))</f>
        <v>State 9</v>
      </c>
      <c r="V12" t="str" cm="1">
        <f t="array" ref="V12">TRIM(INDEX(_xlfn.TEXTSPLIT(F12,","),5))</f>
        <v>11111</v>
      </c>
      <c r="W12" t="str">
        <f t="shared" si="1"/>
        <v>King Market/SFDPH</v>
      </c>
    </row>
    <row r="13" spans="1:24" ht="14.4" x14ac:dyDescent="0.3">
      <c r="A13" s="1">
        <v>15482333</v>
      </c>
      <c r="B13" s="1" t="s">
        <v>82</v>
      </c>
      <c r="C13" s="1" t="s">
        <v>83</v>
      </c>
      <c r="D13" s="1" t="s">
        <v>84</v>
      </c>
      <c r="E13" s="1"/>
      <c r="F13" s="1" t="s">
        <v>226</v>
      </c>
      <c r="G13" s="1"/>
      <c r="H13" s="1">
        <v>11111111111</v>
      </c>
      <c r="I13" s="1" t="s">
        <v>20</v>
      </c>
      <c r="J13" s="2" t="s">
        <v>86</v>
      </c>
      <c r="K13" s="1"/>
      <c r="L13" s="3">
        <v>29271</v>
      </c>
      <c r="M13" s="1"/>
      <c r="N13" s="1"/>
      <c r="O13" s="1" t="s">
        <v>87</v>
      </c>
      <c r="P13" s="1">
        <v>9246182</v>
      </c>
      <c r="Q13" t="str">
        <f t="shared" si="0"/>
        <v>Hersey, Jaime Lee</v>
      </c>
      <c r="R13" t="str" cm="1">
        <f t="array" ref="R13">TRIM(INDEX(_xlfn.TEXTSPLIT(F13,","),1))</f>
        <v>99 W 10th Avenue</v>
      </c>
      <c r="S13" t="str" cm="1">
        <f t="array" ref="S13">TRIM(INDEX(_xlfn.TEXTSPLIT(F13,","),2))</f>
        <v>Unit 14D</v>
      </c>
      <c r="T13" t="str" cm="1">
        <f t="array" ref="T13">TRIM(INDEX(_xlfn.TEXTSPLIT(F13,","),3))</f>
        <v>Flint</v>
      </c>
      <c r="U13" t="str" cm="1">
        <f t="array" ref="U13">TRIM(INDEX(_xlfn.TEXTSPLIT(F13,","),4))</f>
        <v>State 10</v>
      </c>
      <c r="V13" t="str" cm="1">
        <f t="array" ref="V13">TRIM(INDEX(_xlfn.TEXTSPLIT(F13,","),5))</f>
        <v>11111</v>
      </c>
      <c r="W13" t="str">
        <f t="shared" si="1"/>
        <v>IRMO Hersey &amp; Banahan</v>
      </c>
      <c r="X13" t="str">
        <f t="shared" si="2"/>
        <v>2/20/1980</v>
      </c>
    </row>
    <row r="14" spans="1:24" ht="14.4" x14ac:dyDescent="0.3">
      <c r="A14" s="1">
        <v>15603341</v>
      </c>
      <c r="B14" s="1" t="s">
        <v>88</v>
      </c>
      <c r="C14" s="1" t="s">
        <v>89</v>
      </c>
      <c r="D14" s="1" t="s">
        <v>90</v>
      </c>
      <c r="E14" s="1"/>
      <c r="F14" s="1" t="s">
        <v>227</v>
      </c>
      <c r="G14" s="1"/>
      <c r="H14" s="1" t="s">
        <v>92</v>
      </c>
      <c r="I14" s="1" t="s">
        <v>20</v>
      </c>
      <c r="J14" s="2" t="s">
        <v>93</v>
      </c>
      <c r="K14" s="1"/>
      <c r="L14" s="1"/>
      <c r="M14" s="1"/>
      <c r="N14" s="1"/>
      <c r="O14" s="1" t="s">
        <v>94</v>
      </c>
      <c r="P14" s="1">
        <v>9336068</v>
      </c>
      <c r="Q14" t="str">
        <f t="shared" si="0"/>
        <v>Valencia, Andrew Rosete</v>
      </c>
      <c r="R14" t="str" cm="1">
        <f t="array" ref="R14">TRIM(INDEX(_xlfn.TEXTSPLIT(F14,","),1))</f>
        <v>100 Hylein</v>
      </c>
      <c r="S14" t="str" cm="1">
        <f t="array" ref="S14">TRIM(INDEX(_xlfn.TEXTSPLIT(F14,","),2))</f>
        <v>Unit 4</v>
      </c>
      <c r="T14" t="str" cm="1">
        <f t="array" ref="T14">TRIM(INDEX(_xlfn.TEXTSPLIT(F14,","),3))</f>
        <v>Tampa</v>
      </c>
      <c r="U14" t="str" cm="1">
        <f t="array" ref="U14">TRIM(INDEX(_xlfn.TEXTSPLIT(F14,","),4))</f>
        <v>State 11</v>
      </c>
      <c r="V14" t="str" cm="1">
        <f t="array" ref="V14">TRIM(INDEX(_xlfn.TEXTSPLIT(F14,","),5))</f>
        <v>11111</v>
      </c>
      <c r="W14" t="str">
        <f t="shared" si="1"/>
        <v>IRMO Valencia</v>
      </c>
    </row>
    <row r="15" spans="1:24" ht="14.4" x14ac:dyDescent="0.3">
      <c r="A15" s="1">
        <v>15703531</v>
      </c>
      <c r="B15" s="1" t="s">
        <v>95</v>
      </c>
      <c r="C15" s="1"/>
      <c r="D15" s="1" t="s">
        <v>96</v>
      </c>
      <c r="E15" s="1"/>
      <c r="F15" s="1" t="s">
        <v>228</v>
      </c>
      <c r="G15" s="1"/>
      <c r="H15" s="1" t="s">
        <v>98</v>
      </c>
      <c r="I15" s="1" t="s">
        <v>20</v>
      </c>
      <c r="J15" s="2" t="s">
        <v>99</v>
      </c>
      <c r="K15" s="1"/>
      <c r="L15" s="1"/>
      <c r="M15" s="1"/>
      <c r="N15" s="1"/>
      <c r="O15" s="1" t="s">
        <v>100</v>
      </c>
      <c r="P15" s="1">
        <v>9416495</v>
      </c>
      <c r="Q15" t="str">
        <f t="shared" si="0"/>
        <v>Hou, Yen-Ming</v>
      </c>
      <c r="R15" t="str" cm="1">
        <f t="array" ref="R15">TRIM(INDEX(_xlfn.TEXTSPLIT(F15,","),1))</f>
        <v>901 Skycreek Drive</v>
      </c>
      <c r="S15" t="str" cm="1">
        <f t="array" ref="S15">TRIM(INDEX(_xlfn.TEXTSPLIT(F15,","),2))</f>
        <v>#87</v>
      </c>
      <c r="T15" t="str" cm="1">
        <f t="array" ref="T15">TRIM(INDEX(_xlfn.TEXTSPLIT(F15,","),3))</f>
        <v>Miami</v>
      </c>
      <c r="U15" t="str" cm="1">
        <f t="array" ref="U15">TRIM(INDEX(_xlfn.TEXTSPLIT(F15,","),4))</f>
        <v>State 12</v>
      </c>
      <c r="V15" t="str" cm="1">
        <f t="array" ref="V15">TRIM(INDEX(_xlfn.TEXTSPLIT(F15,","),5))</f>
        <v>11111</v>
      </c>
      <c r="W15" t="str">
        <f t="shared" si="1"/>
        <v>IRMO Mulroy &amp; Hou</v>
      </c>
    </row>
    <row r="16" spans="1:24" ht="14.4" x14ac:dyDescent="0.3">
      <c r="A16" s="1">
        <v>16193894</v>
      </c>
      <c r="B16" s="1" t="s">
        <v>101</v>
      </c>
      <c r="C16" s="1" t="s">
        <v>102</v>
      </c>
      <c r="D16" s="1" t="s">
        <v>103</v>
      </c>
      <c r="E16" s="1"/>
      <c r="F16" s="1" t="s">
        <v>229</v>
      </c>
      <c r="G16" s="1"/>
      <c r="H16" s="1"/>
      <c r="I16" s="1" t="s">
        <v>20</v>
      </c>
      <c r="J16" s="2" t="s">
        <v>105</v>
      </c>
      <c r="K16" s="1"/>
      <c r="L16" s="3">
        <v>35057</v>
      </c>
      <c r="M16" s="1"/>
      <c r="N16" s="1"/>
      <c r="O16" s="1" t="s">
        <v>106</v>
      </c>
      <c r="P16" s="1">
        <v>9755543</v>
      </c>
      <c r="Q16" t="str">
        <f t="shared" si="0"/>
        <v>Bryant, Matthew Phil</v>
      </c>
      <c r="R16" t="str" cm="1">
        <f t="array" ref="R16">TRIM(INDEX(_xlfn.TEXTSPLIT(F16,","),1))</f>
        <v>4009 Bayle Street</v>
      </c>
      <c r="S16" t="str" cm="1">
        <f t="array" ref="S16">TRIM(INDEX(_xlfn.TEXTSPLIT(F16,","),2))</f>
        <v>Apt 803</v>
      </c>
      <c r="T16" t="str" cm="1">
        <f t="array" ref="T16">TRIM(INDEX(_xlfn.TEXTSPLIT(F16,","),3))</f>
        <v>Seattle</v>
      </c>
      <c r="U16" t="str" cm="1">
        <f t="array" ref="U16">TRIM(INDEX(_xlfn.TEXTSPLIT(F16,","),4))</f>
        <v>State 13</v>
      </c>
      <c r="V16" t="str" cm="1">
        <f t="array" ref="V16">TRIM(INDEX(_xlfn.TEXTSPLIT(F16,","),5))</f>
        <v>11111</v>
      </c>
      <c r="W16" t="str">
        <f t="shared" si="1"/>
        <v>Matthew Bryant</v>
      </c>
      <c r="X16" t="str">
        <f t="shared" si="2"/>
        <v>12/24/1995</v>
      </c>
    </row>
    <row r="17" spans="1:24" ht="14.4" x14ac:dyDescent="0.3">
      <c r="A17" s="1">
        <v>16438810</v>
      </c>
      <c r="B17" s="1" t="s">
        <v>107</v>
      </c>
      <c r="C17" s="1" t="s">
        <v>108</v>
      </c>
      <c r="D17" s="1" t="s">
        <v>109</v>
      </c>
      <c r="E17" s="1"/>
      <c r="F17" s="1" t="s">
        <v>230</v>
      </c>
      <c r="G17" s="1"/>
      <c r="H17" s="1" t="s">
        <v>111</v>
      </c>
      <c r="I17" s="1" t="s">
        <v>20</v>
      </c>
      <c r="J17" s="2" t="s">
        <v>112</v>
      </c>
      <c r="K17" s="1"/>
      <c r="L17" s="1"/>
      <c r="M17" s="1"/>
      <c r="N17" s="1"/>
      <c r="O17" s="1" t="s">
        <v>113</v>
      </c>
      <c r="P17" s="1">
        <v>9928699</v>
      </c>
      <c r="Q17" t="str">
        <f t="shared" si="0"/>
        <v>Scanlan, Brittany Christine</v>
      </c>
      <c r="R17" t="str" cm="1">
        <f t="array" ref="R17">TRIM(INDEX(_xlfn.TEXTSPLIT(F17,","),1))</f>
        <v>101 Boardway Ave.</v>
      </c>
      <c r="S17" t="str" cm="1">
        <f t="array" ref="S17">TRIM(INDEX(_xlfn.TEXTSPLIT(F17,","),2))</f>
        <v>Apt.#21</v>
      </c>
      <c r="T17" t="str" cm="1">
        <f t="array" ref="T17">TRIM(INDEX(_xlfn.TEXTSPLIT(F17,","),3))</f>
        <v>Fort Lauderdale</v>
      </c>
      <c r="U17" t="str" cm="1">
        <f t="array" ref="U17">TRIM(INDEX(_xlfn.TEXTSPLIT(F17,","),4))</f>
        <v>State 14</v>
      </c>
      <c r="V17" t="str" cm="1">
        <f t="array" ref="V17">TRIM(INDEX(_xlfn.TEXTSPLIT(F17,","),5))</f>
        <v>11111</v>
      </c>
      <c r="W17" t="str">
        <f t="shared" si="1"/>
        <v>IRMO Scanlan</v>
      </c>
    </row>
    <row r="18" spans="1:24" ht="14.4" x14ac:dyDescent="0.3">
      <c r="A18" s="1">
        <v>16480369</v>
      </c>
      <c r="B18" s="1" t="s">
        <v>114</v>
      </c>
      <c r="C18" s="1"/>
      <c r="D18" s="1" t="s">
        <v>115</v>
      </c>
      <c r="E18" s="1"/>
      <c r="F18" s="1" t="s">
        <v>231</v>
      </c>
      <c r="G18" s="1"/>
      <c r="H18" s="1" t="s">
        <v>117</v>
      </c>
      <c r="I18" s="1" t="s">
        <v>20</v>
      </c>
      <c r="J18" s="1"/>
      <c r="K18" s="1"/>
      <c r="L18" s="3">
        <v>24016</v>
      </c>
      <c r="M18" s="1"/>
      <c r="N18" s="1"/>
      <c r="O18" s="1" t="s">
        <v>118</v>
      </c>
      <c r="P18" s="1">
        <v>9953780</v>
      </c>
      <c r="Q18" t="str">
        <f t="shared" si="0"/>
        <v>Gotelli, Lauren</v>
      </c>
      <c r="R18" t="str" cm="1">
        <f t="array" ref="R18">TRIM(INDEX(_xlfn.TEXTSPLIT(F18,","),1))</f>
        <v>6078 Burneigh Ave.</v>
      </c>
      <c r="S18" t="str" cm="1">
        <f t="array" ref="S18">TRIM(INDEX(_xlfn.TEXTSPLIT(F18,","),2))</f>
        <v>#3</v>
      </c>
      <c r="T18" t="str" cm="1">
        <f t="array" ref="T18">TRIM(INDEX(_xlfn.TEXTSPLIT(F18,","),3))</f>
        <v>Orlando</v>
      </c>
      <c r="U18" t="str" cm="1">
        <f t="array" ref="U18">TRIM(INDEX(_xlfn.TEXTSPLIT(F18,","),4))</f>
        <v>State 15</v>
      </c>
      <c r="V18" t="str" cm="1">
        <f t="array" ref="V18">TRIM(INDEX(_xlfn.TEXTSPLIT(F18,","),5))</f>
        <v>11111</v>
      </c>
      <c r="W18" t="str">
        <f t="shared" si="1"/>
        <v>Lauren Gotelli</v>
      </c>
      <c r="X18" t="str">
        <f t="shared" si="2"/>
        <v>10/1/1965</v>
      </c>
    </row>
    <row r="19" spans="1:24" ht="14.4" x14ac:dyDescent="0.3">
      <c r="A19" s="1">
        <v>17820681</v>
      </c>
      <c r="B19" s="1" t="s">
        <v>119</v>
      </c>
      <c r="C19" s="1" t="s">
        <v>120</v>
      </c>
      <c r="D19" s="1" t="s">
        <v>121</v>
      </c>
      <c r="E19" s="1"/>
      <c r="F19" s="1" t="s">
        <v>232</v>
      </c>
      <c r="G19" s="1"/>
      <c r="H19" s="1"/>
      <c r="I19" s="1" t="s">
        <v>20</v>
      </c>
      <c r="J19" s="2" t="s">
        <v>123</v>
      </c>
      <c r="K19" s="1"/>
      <c r="L19" s="1"/>
      <c r="M19" s="1"/>
      <c r="N19" s="1"/>
      <c r="O19" s="1" t="s">
        <v>124</v>
      </c>
      <c r="P19" s="1">
        <v>10759701</v>
      </c>
      <c r="Q19" t="str">
        <f t="shared" si="0"/>
        <v>Gutierrez, Margarita</v>
      </c>
      <c r="R19" t="str" cm="1">
        <f t="array" ref="R19">TRIM(INDEX(_xlfn.TEXTSPLIT(F19,","),1))</f>
        <v>9087 Christmas Drive</v>
      </c>
      <c r="S19" t="str" cm="1">
        <f t="array" ref="S19">TRIM(INDEX(_xlfn.TEXTSPLIT(F19,","),2))</f>
        <v># 101</v>
      </c>
      <c r="T19" t="str" cm="1">
        <f t="array" ref="T19">TRIM(INDEX(_xlfn.TEXTSPLIT(F19,","),3))</f>
        <v>Las Vegas</v>
      </c>
      <c r="U19" t="str" cm="1">
        <f t="array" ref="U19">TRIM(INDEX(_xlfn.TEXTSPLIT(F19,","),4))</f>
        <v>State 16</v>
      </c>
      <c r="V19" t="str" cm="1">
        <f t="array" ref="V19">TRIM(INDEX(_xlfn.TEXTSPLIT(F19,","),5))</f>
        <v>11111</v>
      </c>
      <c r="W19" t="str">
        <f t="shared" si="1"/>
        <v>Margarita Gutierrez</v>
      </c>
      <c r="X19" t="str">
        <f t="shared" si="2"/>
        <v>1/0/1900</v>
      </c>
    </row>
    <row r="21" spans="1:24" ht="15.75" customHeight="1" x14ac:dyDescent="0.3"/>
    <row r="22" spans="1:24" ht="15.75" customHeight="1" x14ac:dyDescent="0.3">
      <c r="D22" s="13"/>
      <c r="E22" s="13"/>
      <c r="F22" s="13"/>
      <c r="G22" s="13"/>
      <c r="H22" s="13"/>
      <c r="I22" s="13"/>
      <c r="J22" s="13"/>
    </row>
    <row r="23" spans="1:24" ht="15.75" customHeight="1" x14ac:dyDescent="0.3">
      <c r="D23" s="13"/>
      <c r="E23" s="13"/>
      <c r="F23" s="13"/>
      <c r="G23" s="13"/>
      <c r="H23" s="13"/>
      <c r="I23" s="13"/>
      <c r="J23" s="13"/>
    </row>
    <row r="24" spans="1:24" ht="15.75" customHeight="1" x14ac:dyDescent="0.3">
      <c r="D24" s="13"/>
      <c r="E24" s="13"/>
      <c r="F24" s="14"/>
      <c r="G24" s="14"/>
      <c r="H24" s="14"/>
      <c r="I24" s="14"/>
      <c r="J24" s="13"/>
    </row>
    <row r="25" spans="1:24" ht="15.75" customHeight="1" x14ac:dyDescent="0.3">
      <c r="D25" s="13"/>
      <c r="E25" s="13"/>
      <c r="F25" s="14"/>
      <c r="G25" s="14"/>
      <c r="H25" s="14"/>
      <c r="I25" s="14"/>
      <c r="J25" s="13"/>
    </row>
    <row r="26" spans="1:24" ht="15.75" customHeight="1" x14ac:dyDescent="0.3">
      <c r="D26" s="13"/>
      <c r="E26" s="13"/>
      <c r="F26" s="14"/>
      <c r="G26" s="14"/>
      <c r="H26" s="14"/>
      <c r="I26" s="14"/>
      <c r="J26" s="13"/>
    </row>
    <row r="27" spans="1:24" ht="15.75" customHeight="1" x14ac:dyDescent="0.3">
      <c r="D27" s="13"/>
      <c r="E27" s="13"/>
      <c r="F27" s="14"/>
      <c r="G27" s="14"/>
      <c r="H27" s="14"/>
      <c r="I27" s="14"/>
      <c r="J27" s="13"/>
    </row>
    <row r="28" spans="1:24" ht="15.75" customHeight="1" x14ac:dyDescent="0.3">
      <c r="D28" s="13"/>
      <c r="E28" s="13"/>
      <c r="F28" s="14"/>
      <c r="G28" s="14"/>
      <c r="H28" s="14"/>
      <c r="I28" s="14"/>
      <c r="J28" s="13"/>
    </row>
    <row r="29" spans="1:24" ht="15.75" customHeight="1" x14ac:dyDescent="0.3">
      <c r="D29" s="13"/>
      <c r="E29" s="13"/>
      <c r="F29" s="14"/>
      <c r="G29" s="14"/>
      <c r="H29" s="14"/>
      <c r="I29" s="14"/>
      <c r="J29" s="13"/>
    </row>
    <row r="30" spans="1:24" ht="15.75" customHeight="1" x14ac:dyDescent="0.3">
      <c r="D30" s="13"/>
      <c r="E30" s="13"/>
      <c r="F30" s="14"/>
      <c r="G30" s="14"/>
      <c r="H30" s="14"/>
      <c r="I30" s="14"/>
      <c r="J30" s="13"/>
    </row>
    <row r="31" spans="1:24" ht="15.75" customHeight="1" x14ac:dyDescent="0.3">
      <c r="D31" s="13"/>
      <c r="E31" s="13"/>
      <c r="F31" s="14"/>
      <c r="G31" s="14"/>
      <c r="H31" s="14"/>
      <c r="I31" s="14"/>
      <c r="J31" s="13"/>
    </row>
    <row r="32" spans="1:24" ht="15.75" customHeight="1" x14ac:dyDescent="0.3">
      <c r="D32" s="13"/>
      <c r="E32" s="13"/>
      <c r="F32" s="14"/>
      <c r="G32" s="14"/>
      <c r="H32" s="14"/>
      <c r="I32" s="14"/>
      <c r="J32" s="13"/>
    </row>
    <row r="33" spans="4:10" ht="15.75" customHeight="1" x14ac:dyDescent="0.3">
      <c r="D33" s="13"/>
      <c r="E33" s="13"/>
      <c r="F33" s="14"/>
      <c r="G33" s="14"/>
      <c r="H33" s="14"/>
      <c r="I33" s="14"/>
      <c r="J33" s="13"/>
    </row>
    <row r="34" spans="4:10" ht="15.75" customHeight="1" x14ac:dyDescent="0.3">
      <c r="D34" s="13"/>
      <c r="E34" s="13"/>
      <c r="F34" s="14"/>
      <c r="G34" s="14"/>
      <c r="H34" s="14"/>
      <c r="I34" s="14"/>
      <c r="J34" s="13"/>
    </row>
    <row r="35" spans="4:10" ht="15.75" customHeight="1" x14ac:dyDescent="0.3">
      <c r="D35" s="13"/>
      <c r="E35" s="13"/>
      <c r="F35" s="14"/>
      <c r="G35" s="14"/>
      <c r="H35" s="14"/>
      <c r="I35" s="14"/>
      <c r="J35" s="13"/>
    </row>
    <row r="36" spans="4:10" ht="15.75" customHeight="1" x14ac:dyDescent="0.3">
      <c r="D36" s="13"/>
      <c r="E36" s="13"/>
      <c r="F36" s="14"/>
      <c r="G36" s="14"/>
      <c r="H36" s="14"/>
      <c r="I36" s="14"/>
      <c r="J36" s="13"/>
    </row>
    <row r="37" spans="4:10" ht="15.75" customHeight="1" x14ac:dyDescent="0.3">
      <c r="D37" s="13"/>
      <c r="E37" s="13"/>
      <c r="F37" s="14"/>
      <c r="G37" s="14"/>
      <c r="H37" s="14"/>
      <c r="I37" s="14"/>
      <c r="J37" s="13"/>
    </row>
    <row r="38" spans="4:10" ht="15.75" customHeight="1" x14ac:dyDescent="0.3">
      <c r="D38" s="13"/>
      <c r="E38" s="13"/>
      <c r="F38" s="14"/>
      <c r="G38" s="14"/>
      <c r="H38" s="14"/>
      <c r="I38" s="14"/>
      <c r="J38" s="13"/>
    </row>
    <row r="39" spans="4:10" ht="15.75" customHeight="1" x14ac:dyDescent="0.3">
      <c r="D39" s="13"/>
      <c r="E39" s="13"/>
      <c r="F39" s="14"/>
      <c r="G39" s="14"/>
      <c r="H39" s="14"/>
      <c r="I39" s="14"/>
      <c r="J39" s="13"/>
    </row>
    <row r="40" spans="4:10" ht="15.75" customHeight="1" x14ac:dyDescent="0.3">
      <c r="D40" s="13"/>
      <c r="E40" s="13"/>
      <c r="F40" s="14"/>
      <c r="G40" s="14"/>
      <c r="H40" s="14"/>
      <c r="I40" s="14"/>
      <c r="J40" s="13"/>
    </row>
    <row r="41" spans="4:10" ht="15.75" customHeight="1" x14ac:dyDescent="0.3">
      <c r="D41" s="13"/>
      <c r="E41" s="13"/>
      <c r="F41" s="14"/>
      <c r="G41" s="14"/>
      <c r="H41" s="14"/>
      <c r="I41" s="14"/>
      <c r="J41" s="13"/>
    </row>
    <row r="42" spans="4:10" ht="15.75" customHeight="1" x14ac:dyDescent="0.3">
      <c r="D42" s="13"/>
      <c r="E42" s="13"/>
      <c r="F42" s="13"/>
      <c r="G42" s="13"/>
      <c r="H42" s="13"/>
      <c r="I42" s="13"/>
      <c r="J42" s="13"/>
    </row>
    <row r="43" spans="4:10" ht="15.75" customHeight="1" x14ac:dyDescent="0.3">
      <c r="D43" s="13"/>
      <c r="E43" s="13"/>
      <c r="F43" s="13"/>
      <c r="G43" s="13"/>
      <c r="H43" s="13"/>
      <c r="I43" s="13"/>
      <c r="J43" s="13"/>
    </row>
    <row r="44" spans="4:10" ht="15.75" customHeight="1" x14ac:dyDescent="0.3"/>
    <row r="45" spans="4:10" ht="15.75" customHeight="1" x14ac:dyDescent="0.3"/>
    <row r="46" spans="4:10" ht="15.75" customHeight="1" x14ac:dyDescent="0.3"/>
    <row r="47" spans="4:10" ht="15.75" customHeight="1" x14ac:dyDescent="0.3"/>
    <row r="48" spans="4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1" r:id="rId8" xr:uid="{00000000-0004-0000-0000-000007000000}"/>
    <hyperlink ref="J12" r:id="rId9" xr:uid="{00000000-0004-0000-0000-000008000000}"/>
    <hyperlink ref="J13" r:id="rId10" xr:uid="{00000000-0004-0000-0000-000009000000}"/>
    <hyperlink ref="J14" r:id="rId11" xr:uid="{00000000-0004-0000-0000-00000A000000}"/>
    <hyperlink ref="J15" r:id="rId12" xr:uid="{00000000-0004-0000-0000-00000B000000}"/>
    <hyperlink ref="J16" r:id="rId13" xr:uid="{00000000-0004-0000-0000-00000C000000}"/>
    <hyperlink ref="J17" r:id="rId14" xr:uid="{00000000-0004-0000-0000-00000D000000}"/>
    <hyperlink ref="J19" r:id="rId15" xr:uid="{00000000-0004-0000-0000-00000E000000}"/>
  </hyperlinks>
  <pageMargins left="0.7" right="0.7" top="0.75" bottom="0.75" header="0" footer="0"/>
  <pageSetup orientation="landscape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DDA4-4F88-4B5D-A05E-855355C17FDA}">
  <dimension ref="A1:V19"/>
  <sheetViews>
    <sheetView tabSelected="1" workbookViewId="0">
      <selection activeCell="G14" sqref="G14"/>
    </sheetView>
  </sheetViews>
  <sheetFormatPr defaultRowHeight="14.4" x14ac:dyDescent="0.3"/>
  <cols>
    <col min="5" max="5" width="22.33203125" bestFit="1" customWidth="1"/>
    <col min="7" max="7" width="51.21875" bestFit="1" customWidth="1"/>
    <col min="8" max="8" width="23" bestFit="1" customWidth="1"/>
    <col min="14" max="14" width="28" bestFit="1" customWidth="1"/>
    <col min="15" max="15" width="12.6640625" bestFit="1" customWidth="1"/>
    <col min="16" max="16" width="21.5546875" bestFit="1" customWidth="1"/>
    <col min="18" max="18" width="10.33203125" bestFit="1" customWidth="1"/>
    <col min="21" max="21" width="31.44140625" bestFit="1" customWidth="1"/>
  </cols>
  <sheetData>
    <row r="1" spans="1:2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125</v>
      </c>
      <c r="F1" s="5" t="s">
        <v>4</v>
      </c>
      <c r="G1" s="5" t="s">
        <v>5</v>
      </c>
      <c r="H1" s="5" t="s">
        <v>126</v>
      </c>
      <c r="I1" s="5" t="s">
        <v>127</v>
      </c>
      <c r="J1" s="5" t="s">
        <v>128</v>
      </c>
      <c r="K1" s="5" t="s">
        <v>129</v>
      </c>
      <c r="L1" s="5" t="s">
        <v>130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</row>
    <row r="2" spans="1:22" x14ac:dyDescent="0.3">
      <c r="A2" s="6">
        <v>7398191</v>
      </c>
      <c r="B2" s="6" t="str">
        <f>VLOOKUP($A2, 'Test file'!$A:$Q, 2, FALSE)</f>
        <v>William</v>
      </c>
      <c r="C2" s="6" t="str">
        <f>VLOOKUP($A2, 'Test file'!$A:$Q, 3, FALSE)</f>
        <v>Tim</v>
      </c>
      <c r="D2" s="6" t="str">
        <f>VLOOKUP($A2, 'Test file'!$A:$Q, 4, FALSE)</f>
        <v>Barretta</v>
      </c>
      <c r="E2" s="7" t="str">
        <f>VLOOKUP($A2, 'Test file'!$A:$Q, 17, FALSE)</f>
        <v>Barretta, William Tim</v>
      </c>
      <c r="F2" s="7"/>
      <c r="G2" s="7" t="str">
        <f>VLOOKUP($A2, 'Test file'!$A:$Q, 6, FALSE)</f>
        <v xml:space="preserve">     </v>
      </c>
      <c r="H2" s="7"/>
      <c r="I2" s="7"/>
      <c r="J2" s="7"/>
      <c r="K2" s="7"/>
      <c r="L2" s="7"/>
      <c r="M2" s="7"/>
      <c r="N2" s="7"/>
      <c r="O2" s="7" t="str">
        <f>VLOOKUP($A2, 'Test file'!$A:$X, 9, FALSE)</f>
        <v>Client</v>
      </c>
      <c r="P2" s="7"/>
      <c r="Q2" s="7"/>
      <c r="R2" s="8"/>
      <c r="S2" s="7"/>
      <c r="T2" s="7"/>
      <c r="U2" s="7" t="str">
        <f>TRIM(VLOOKUP($A2, 'Test file'!$A:$Q, 15, FALSE))</f>
        <v>William Barretta</v>
      </c>
      <c r="V2" s="7">
        <f>VLOOKUP($A2, 'Test file'!$A:$X, 16,FALSE)</f>
        <v>3783285</v>
      </c>
    </row>
    <row r="3" spans="1:22" s="11" customFormat="1" x14ac:dyDescent="0.3">
      <c r="A3" s="9">
        <v>7439820</v>
      </c>
      <c r="B3" s="10" t="str">
        <f>VLOOKUP($A3, 'Test file'!$A:$Q, 2, FALSE)</f>
        <v>Khaled</v>
      </c>
      <c r="C3" s="10" t="str">
        <f>VLOOKUP($A3, 'Test file'!$A:$Q, 3, FALSE)</f>
        <v>Kayne</v>
      </c>
      <c r="D3" s="10" t="str">
        <f>VLOOKUP($A3, 'Test file'!$A:$Q, 4, FALSE)</f>
        <v>Kamel</v>
      </c>
      <c r="E3" s="11" t="str">
        <f>VLOOKUP($A3, 'Test file'!$A:$Q, 17, FALSE)</f>
        <v>Kamel, Khaled Kayne</v>
      </c>
      <c r="G3" s="11" t="str">
        <f>VLOOKUP($A3, 'Test file'!$A:$Q, 6, FALSE)</f>
        <v>2926 N Raine, Blvd. 6, Tucson, State 1, 11111</v>
      </c>
      <c r="H3" s="11" t="str">
        <f>VLOOKUP($A3, 'Test file'!$A:$X, 18, FALSE)</f>
        <v>2926 N Raine</v>
      </c>
      <c r="I3" s="11" t="str">
        <f>VLOOKUP($A3, 'Test file'!$A:$X, 19, FALSE)</f>
        <v>Blvd. 6</v>
      </c>
      <c r="J3" s="11" t="str">
        <f>VLOOKUP($A3, 'Test file'!$A:$X, 20, FALSE)</f>
        <v>Tucson</v>
      </c>
      <c r="K3" s="11" t="str">
        <f>VLOOKUP($A3, 'Test file'!$A:$X, 21, FALSE)</f>
        <v>State 1</v>
      </c>
      <c r="L3" s="11" t="str">
        <f>VLOOKUP($A3, 'Test file'!$A:$X, 22, FALSE)</f>
        <v>11111</v>
      </c>
      <c r="N3" s="11" t="str">
        <f>VLOOKUP($A3, 'Test file'!$A:$Q, 8, FALSE)</f>
        <v>(555) 555-5555</v>
      </c>
      <c r="O3" s="11" t="str">
        <f>VLOOKUP($A3, 'Test file'!$A:$X, 9, FALSE)</f>
        <v>Client</v>
      </c>
      <c r="P3" s="11" t="str">
        <f>VLOOKUP($A3, 'Test file'!$A:$X, 10, FALSE)</f>
        <v>user1@email.com</v>
      </c>
      <c r="R3" s="12"/>
      <c r="U3" s="11" t="str">
        <f>TRIM(VLOOKUP($A3, 'Test file'!$A:$Q, 15, FALSE))</f>
        <v>Khaled Kamel</v>
      </c>
      <c r="V3" s="11">
        <f>VLOOKUP($A3, 'Test file'!$A:$X, 16,FALSE)</f>
        <v>3810123</v>
      </c>
    </row>
    <row r="4" spans="1:22" s="7" customFormat="1" x14ac:dyDescent="0.3">
      <c r="A4" s="6">
        <v>7451828</v>
      </c>
      <c r="B4" s="6" t="str">
        <f>VLOOKUP($A4, 'Test file'!$A:$Q, 2, FALSE)</f>
        <v>Dumisani</v>
      </c>
      <c r="C4" s="6" t="str">
        <f>VLOOKUP($A4, 'Test file'!$A:$Q, 3, FALSE)</f>
        <v xml:space="preserve">     </v>
      </c>
      <c r="D4" s="6" t="str">
        <f>VLOOKUP($A4, 'Test file'!$A:$Q, 4, FALSE)</f>
        <v>Tembo</v>
      </c>
      <c r="E4" s="7" t="str">
        <f>VLOOKUP($A4, 'Test file'!$A:$Q, 17, FALSE)</f>
        <v>Tembo, Dumisani</v>
      </c>
      <c r="G4" s="7" t="str">
        <f>VLOOKUP($A4, 'Test file'!$A:$Q, 6, FALSE)</f>
        <v xml:space="preserve">     </v>
      </c>
      <c r="H4" s="7" t="str">
        <f>VLOOKUP($A4, 'Test file'!$A:$X, 18, FALSE)</f>
        <v/>
      </c>
      <c r="J4" s="7">
        <f>VLOOKUP($A4, 'Test file'!$A:$X, 20, FALSE)</f>
        <v>0</v>
      </c>
      <c r="O4" s="7" t="str">
        <f>VLOOKUP($A4, 'Test file'!$A:$X, 9, FALSE)</f>
        <v>Client</v>
      </c>
      <c r="P4" s="7" t="str">
        <f>VLOOKUP($A4, 'Test file'!$A:$X, 10, FALSE)</f>
        <v>email@domain.com</v>
      </c>
      <c r="R4" s="8"/>
      <c r="U4" s="7" t="str">
        <f>TRIM(VLOOKUP($A4, 'Test file'!$A:$Q, 15, FALSE))</f>
        <v>People v. Tembo, Dumisani</v>
      </c>
      <c r="V4" s="7">
        <f>VLOOKUP($A4, 'Test file'!$A:$X, 16,FALSE)</f>
        <v>3820215</v>
      </c>
    </row>
    <row r="5" spans="1:22" s="11" customFormat="1" x14ac:dyDescent="0.3">
      <c r="A5" s="9">
        <v>7871642</v>
      </c>
      <c r="B5" s="10" t="str">
        <f>VLOOKUP($A5, 'Test file'!$A:$Q, 2, FALSE)</f>
        <v>Khanh</v>
      </c>
      <c r="C5" s="10" t="str">
        <f>VLOOKUP($A5, 'Test file'!$A:$Q, 3, FALSE)</f>
        <v>Dee</v>
      </c>
      <c r="D5" s="10" t="str">
        <f>VLOOKUP($A5, 'Test file'!$A:$Q, 4, FALSE)</f>
        <v>Dao</v>
      </c>
      <c r="E5" s="11" t="str">
        <f>VLOOKUP($A5, 'Test file'!$A:$Q, 17, FALSE)</f>
        <v>Dao, Khanh Dee</v>
      </c>
      <c r="G5" s="11" t="str">
        <f>VLOOKUP($A5, 'Test file'!$A:$Q, 6, FALSE)</f>
        <v>435 N. Congress Ave., #180,  St Petersburg, State 2, 11111</v>
      </c>
      <c r="H5" s="11" t="str">
        <f>VLOOKUP($A5, 'Test file'!$A:$X, 18, FALSE)</f>
        <v>435 N. Congress Ave.</v>
      </c>
      <c r="I5" s="11" t="str">
        <f>VLOOKUP($A5, 'Test file'!$A:$X, 19, FALSE)</f>
        <v>#180</v>
      </c>
      <c r="J5" s="11" t="str">
        <f>VLOOKUP($A5, 'Test file'!$A:$X, 20, FALSE)</f>
        <v>St Petersburg</v>
      </c>
      <c r="K5" s="11" t="str">
        <f>VLOOKUP($A5, 'Test file'!$A:$X, 21, FALSE)</f>
        <v>State 2</v>
      </c>
      <c r="L5" s="11" t="str">
        <f>VLOOKUP($A5, 'Test file'!$A:$X, 22, FALSE)</f>
        <v>11111</v>
      </c>
      <c r="N5" s="11" t="str">
        <f>VLOOKUP($A5, 'Test file'!$A:$Q, 8, FALSE)</f>
        <v>(111) 852-4480</v>
      </c>
      <c r="O5" s="11" t="str">
        <f>VLOOKUP($A5, 'Test file'!$A:$X, 9, FALSE)</f>
        <v>Client</v>
      </c>
      <c r="P5" s="11" t="str">
        <f>VLOOKUP($A5, 'Test file'!$A:$X, 10, FALSE)</f>
        <v>Someone@box.com</v>
      </c>
      <c r="R5" s="12"/>
      <c r="U5" s="11" t="str">
        <f>TRIM(VLOOKUP($A5, 'Test file'!$A:$Q, 15, FALSE))</f>
        <v>Khanh Dao</v>
      </c>
      <c r="V5" s="11">
        <f>VLOOKUP($A5, 'Test file'!$A:$X, 16,FALSE)</f>
        <v>4066854</v>
      </c>
    </row>
    <row r="6" spans="1:22" s="7" customFormat="1" x14ac:dyDescent="0.3">
      <c r="A6" s="6">
        <v>8004314</v>
      </c>
      <c r="B6" s="6" t="str">
        <f>VLOOKUP($A6, 'Test file'!$A:$Q, 2, FALSE)</f>
        <v>Anmar</v>
      </c>
      <c r="C6" s="6"/>
      <c r="D6" s="6" t="str">
        <f>VLOOKUP($A6, 'Test file'!$A:$Q, 4, FALSE)</f>
        <v>Saad</v>
      </c>
      <c r="E6" s="7" t="str">
        <f>VLOOKUP($A6, 'Test file'!$A:$Q, 17, FALSE)</f>
        <v>Saad, Anmar</v>
      </c>
      <c r="G6" s="7" t="str">
        <f>VLOOKUP($A6, 'Test file'!$A:$Q, 6, FALSE)</f>
        <v>1234 Highland Square Lane, , Denver, State 3, 11111</v>
      </c>
      <c r="H6" s="7" t="str">
        <f>VLOOKUP($A6, 'Test file'!$A:$X, 18, FALSE)</f>
        <v>1234 Highland Square Lane</v>
      </c>
      <c r="I6" s="7" t="str">
        <f>VLOOKUP($A6, 'Test file'!$A:$X, 19, FALSE)</f>
        <v/>
      </c>
      <c r="J6" s="7">
        <f>Final!I25</f>
        <v>0</v>
      </c>
      <c r="K6" s="7" t="str">
        <f>VLOOKUP($A6, 'Test file'!$A:$X, 21, FALSE)</f>
        <v>State 3</v>
      </c>
      <c r="L6" s="7" t="str">
        <f>VLOOKUP($A6, 'Test file'!$A:$X, 22, FALSE)</f>
        <v>11111</v>
      </c>
      <c r="O6" s="7" t="str">
        <f>VLOOKUP($A6, 'Test file'!$A:$X, 9, FALSE)</f>
        <v>Client</v>
      </c>
      <c r="P6" s="7" t="str">
        <f>VLOOKUP($A6, 'Test file'!$A:$X, 10, FALSE)</f>
        <v>mahmood@email.com</v>
      </c>
      <c r="R6" s="8">
        <f>VLOOKUP($A6, 'Test file'!$A:$Q, 12, FALSE)</f>
        <v>31648</v>
      </c>
      <c r="T6" s="7" t="str">
        <f>VLOOKUP($A6, 'Test file'!$A:$X, 14,FALSE)</f>
        <v>F7390729</v>
      </c>
      <c r="U6" s="7" t="str">
        <f>TRIM(VLOOKUP($A6, 'Test file'!$A:$Q, 15, FALSE))</f>
        <v>Anmar Saad</v>
      </c>
      <c r="V6" s="7">
        <f>VLOOKUP($A6, 'Test file'!$A:$X, 16,FALSE)</f>
        <v>4134776</v>
      </c>
    </row>
    <row r="7" spans="1:22" s="11" customFormat="1" x14ac:dyDescent="0.3">
      <c r="A7" s="9">
        <v>8393082</v>
      </c>
      <c r="B7" s="10" t="str">
        <f>VLOOKUP($A7, 'Test file'!$A:$Q, 2, FALSE)</f>
        <v>Victor</v>
      </c>
      <c r="C7" s="10" t="str">
        <f>VLOOKUP($A7, 'Test file'!$A:$Q, 3, FALSE)</f>
        <v>Henry</v>
      </c>
      <c r="D7" s="10" t="str">
        <f>VLOOKUP($A7, 'Test file'!$A:$Q, 4, FALSE)</f>
        <v>Colonnese</v>
      </c>
      <c r="E7" s="11" t="str">
        <f>VLOOKUP($A7, 'Test file'!$A:$Q, 17, FALSE)</f>
        <v>Colonnese, Victor Henry</v>
      </c>
      <c r="G7" s="11" t="str">
        <f>VLOOKUP($A7, 'Test file'!$A:$Q, 6, FALSE)</f>
        <v>PO Box 200059,  ,Hollywood, State 4, 11111</v>
      </c>
      <c r="H7" s="11" t="str">
        <f>VLOOKUP($A7, 'Test file'!$A:$X, 18, FALSE)</f>
        <v>PO Box 200059</v>
      </c>
      <c r="I7" s="11" t="str">
        <f>VLOOKUP($A7, 'Test file'!$A:$X, 19, FALSE)</f>
        <v/>
      </c>
      <c r="J7" s="11" t="str">
        <f>VLOOKUP($A7, 'Test file'!$A:$X, 20, FALSE)</f>
        <v>Hollywood</v>
      </c>
      <c r="K7" s="11" t="str">
        <f>VLOOKUP($A7, 'Test file'!$A:$X, 21, FALSE)</f>
        <v>State 4</v>
      </c>
      <c r="L7" s="11" t="str">
        <f>VLOOKUP($A7, 'Test file'!$A:$X, 22, FALSE)</f>
        <v>11111</v>
      </c>
      <c r="N7" s="11" t="str">
        <f>VLOOKUP($A7, 'Test file'!$A:$Q, 8, FALSE)</f>
        <v>(222) 987-1653</v>
      </c>
      <c r="O7" s="11" t="str">
        <f>VLOOKUP($A7, 'Test file'!$A:$X, 9, FALSE)</f>
        <v>Client</v>
      </c>
      <c r="P7" s="11" t="str">
        <f>VLOOKUP($A7, 'Test file'!$A:$X, 10, FALSE)</f>
        <v>barry@email.com</v>
      </c>
      <c r="R7" s="12"/>
      <c r="U7" s="11" t="str">
        <f>TRIM(VLOOKUP($A7, 'Test file'!$A:$Q, 15, FALSE))</f>
        <v>Dorothy Fujii</v>
      </c>
      <c r="V7" s="11">
        <f>VLOOKUP($A7, 'Test file'!$A:$X, 16,FALSE)</f>
        <v>4411263</v>
      </c>
    </row>
    <row r="8" spans="1:22" s="7" customFormat="1" x14ac:dyDescent="0.3">
      <c r="A8" s="6">
        <v>8797264</v>
      </c>
      <c r="B8" s="6" t="str">
        <f>VLOOKUP($A8, 'Test file'!$A:$Q, 2, FALSE)</f>
        <v>Amol</v>
      </c>
      <c r="C8" s="6"/>
      <c r="D8" s="6" t="str">
        <f>VLOOKUP($A8, 'Test file'!$A:$Q, 4, FALSE)</f>
        <v>Hardikar</v>
      </c>
      <c r="E8" s="7" t="str">
        <f>VLOOKUP($A8, 'Test file'!$A:$Q, 17, FALSE)</f>
        <v>Hardikar, Amol</v>
      </c>
      <c r="G8" s="7" t="str">
        <f>VLOOKUP($A8, 'Test file'!$A:$Q, 6, FALSE)</f>
        <v>200 Perry Street, Apt. 1505,  Dallas, State 5, 11111</v>
      </c>
      <c r="H8" s="7" t="str">
        <f>VLOOKUP($A8, 'Test file'!$A:$X, 18, FALSE)</f>
        <v>200 Perry Street</v>
      </c>
      <c r="I8" s="7" t="str">
        <f>VLOOKUP($A8, 'Test file'!$A:$X, 19, FALSE)</f>
        <v>Apt. 1505</v>
      </c>
      <c r="J8" s="7" t="str">
        <f>VLOOKUP($A8, 'Test file'!$A:$X, 20, FALSE)</f>
        <v>Dallas</v>
      </c>
      <c r="K8" s="7" t="str">
        <f>VLOOKUP($A8, 'Test file'!$A:$X, 21, FALSE)</f>
        <v>State 5</v>
      </c>
      <c r="L8" s="7" t="str">
        <f>VLOOKUP($A8, 'Test file'!$A:$X, 22, FALSE)</f>
        <v>11111</v>
      </c>
      <c r="N8" s="7" t="str">
        <f>VLOOKUP($A8, 'Test file'!$A:$Q, 8, FALSE)</f>
        <v>(543) 471-2543</v>
      </c>
      <c r="O8" s="7" t="str">
        <f>VLOOKUP($A8, 'Test file'!$A:$X, 9, FALSE)</f>
        <v>Client</v>
      </c>
      <c r="P8" s="7" t="str">
        <f>VLOOKUP($A8, 'Test file'!$A:$X, 10, FALSE)</f>
        <v>Time01@email.com</v>
      </c>
      <c r="R8" s="8"/>
      <c r="U8" s="7" t="str">
        <f>TRIM(VLOOKUP($A8, 'Test file'!$A:$Q, 15, FALSE))</f>
        <v>Amol Hardikar</v>
      </c>
      <c r="V8" s="7">
        <f>VLOOKUP($A8, 'Test file'!$A:$X, 16,FALSE)</f>
        <v>4663111</v>
      </c>
    </row>
    <row r="9" spans="1:22" s="11" customFormat="1" x14ac:dyDescent="0.3">
      <c r="A9" s="9">
        <v>8886849</v>
      </c>
      <c r="B9" s="10" t="str">
        <f>VLOOKUP($A9, 'Test file'!$A:$Q, 2, FALSE)</f>
        <v>Tacktook</v>
      </c>
      <c r="C9" s="10"/>
      <c r="D9" s="10" t="str">
        <f>VLOOKUP($A9, 'Test file'!$A:$Q, 4, FALSE)</f>
        <v>Tachtook</v>
      </c>
      <c r="E9" s="11" t="str">
        <f>VLOOKUP($A9, 'Test file'!$A:$Q, 17, FALSE)</f>
        <v>Tachtook, Tacktook</v>
      </c>
      <c r="G9" s="11" t="str">
        <f>VLOOKUP($A9, 'Test file'!$A:$Q, 6, FALSE)</f>
        <v>20 Barry Court, Apt 203, Boston, State 6, 11111</v>
      </c>
      <c r="H9" s="11" t="str">
        <f>VLOOKUP($A9, 'Test file'!$A:$X, 18, FALSE)</f>
        <v>20 Barry Court</v>
      </c>
      <c r="I9" s="11" t="str">
        <f>VLOOKUP($A9, 'Test file'!$A:$X, 19, FALSE)</f>
        <v>Apt 203</v>
      </c>
      <c r="J9" s="11" t="str">
        <f>VLOOKUP($A9, 'Test file'!$A:$X, 20, FALSE)</f>
        <v>Boston</v>
      </c>
      <c r="K9" s="11" t="str">
        <f>VLOOKUP($A9, 'Test file'!$A:$X, 21, FALSE)</f>
        <v>State 6</v>
      </c>
      <c r="L9" s="11" t="str">
        <f>VLOOKUP($A9, 'Test file'!$A:$X, 22, FALSE)</f>
        <v>11111</v>
      </c>
      <c r="N9" s="11" t="str">
        <f>VLOOKUP($A9, 'Test file'!$A:$Q, 8, FALSE)</f>
        <v>(634) 684-6543</v>
      </c>
      <c r="O9" s="11" t="str">
        <f>VLOOKUP($A9, 'Test file'!$A:$X, 9, FALSE)</f>
        <v>Client</v>
      </c>
      <c r="P9" s="11" t="str">
        <f>VLOOKUP($A9, 'Test file'!$A:$X, 10, FALSE)</f>
        <v>dom@domain.com</v>
      </c>
      <c r="R9" s="12"/>
      <c r="U9" s="11" t="str">
        <f>TRIM(VLOOKUP($A9, 'Test file'!$A:$Q, 15, FALSE))</f>
        <v>Tacktook Tachtook v. Alison Aylsworth</v>
      </c>
      <c r="V9" s="11">
        <f>VLOOKUP($A9, 'Test file'!$A:$X, 16,FALSE)</f>
        <v>4723026</v>
      </c>
    </row>
    <row r="10" spans="1:22" s="7" customFormat="1" x14ac:dyDescent="0.3">
      <c r="A10" s="6">
        <v>14280362</v>
      </c>
      <c r="B10" s="6" t="str">
        <f>VLOOKUP($A10, 'Test file'!$A:$Q, 2, FALSE)</f>
        <v>John</v>
      </c>
      <c r="C10" s="6"/>
      <c r="D10" s="6" t="str">
        <f>VLOOKUP($A10, 'Test file'!$A:$Q, 4, FALSE)</f>
        <v>Doe</v>
      </c>
      <c r="E10" s="7" t="str">
        <f>VLOOKUP($A10, 'Test file'!$A:$Q, 17, FALSE)</f>
        <v>Doe, John</v>
      </c>
      <c r="G10" s="7" t="str">
        <f>VLOOKUP($A10, 'Test file'!$A:$Q, 6, FALSE)</f>
        <v xml:space="preserve">123 Main St.,  ,Santa Ana, State 7, 11111 </v>
      </c>
      <c r="H10" s="7" t="str">
        <f>VLOOKUP($A10, 'Test file'!$A:$X, 18, FALSE)</f>
        <v>123 Main St.</v>
      </c>
      <c r="I10" s="7" t="str">
        <f>VLOOKUP($A10, 'Test file'!$A:$X, 19, FALSE)</f>
        <v/>
      </c>
      <c r="J10" s="7" t="str">
        <f>VLOOKUP($A10, 'Test file'!$A:$X, 20, FALSE)</f>
        <v>Santa Ana</v>
      </c>
      <c r="K10" s="7" t="str">
        <f>VLOOKUP($A10, 'Test file'!$A:$X, 21, FALSE)</f>
        <v>State 7</v>
      </c>
      <c r="L10" s="7" t="str">
        <f>VLOOKUP($A10, 'Test file'!$A:$X, 22, FALSE)</f>
        <v>11111</v>
      </c>
      <c r="O10" s="7" t="str">
        <f>VLOOKUP($A10, 'Test file'!$A:$X, 9, FALSE)</f>
        <v>Client</v>
      </c>
      <c r="R10" s="8"/>
      <c r="S10" s="7" t="str">
        <f>VLOOKUP($A10, 'Test file'!$A:$X, 13, FALSE)</f>
        <v>This is a sample contact.</v>
      </c>
      <c r="U10" s="7" t="str">
        <f>TRIM(VLOOKUP($A10, 'Test file'!$A:$Q, 15, FALSE))</f>
        <v>[SAMPLE] John Doe Matter</v>
      </c>
      <c r="V10" s="7">
        <f>VLOOKUP($A10, 'Test file'!$A:$X, 16,FALSE)</f>
        <v>8536109</v>
      </c>
    </row>
    <row r="11" spans="1:22" s="11" customFormat="1" x14ac:dyDescent="0.3">
      <c r="A11" s="9">
        <v>14280377</v>
      </c>
      <c r="B11" s="10" t="str">
        <f>VLOOKUP($A11, 'Test file'!$A:$Q, 2, FALSE)</f>
        <v>Marjorie</v>
      </c>
      <c r="C11" s="10" t="str">
        <f>VLOOKUP($A11, 'Test file'!$A:$Q, 3, FALSE)</f>
        <v xml:space="preserve">                                </v>
      </c>
      <c r="D11" s="10" t="str">
        <f>VLOOKUP($A11, 'Test file'!$A:$Q, 4, FALSE)</f>
        <v>Nishimata</v>
      </c>
      <c r="E11" s="11" t="str">
        <f>VLOOKUP($A11, 'Test file'!$A:$Q, 17, FALSE)</f>
        <v>Nishimata, Marjorie</v>
      </c>
      <c r="G11" s="11" t="str">
        <f>VLOOKUP($A11, 'Test file'!$A:$Q, 6, FALSE)</f>
        <v>223 Greaterwealth Avenue, Unit 70, Davie, State 8, 11111</v>
      </c>
      <c r="H11" s="11" t="str">
        <f>VLOOKUP($A11, 'Test file'!$A:$X, 18, FALSE)</f>
        <v>223 Greaterwealth Avenue</v>
      </c>
      <c r="I11" s="11" t="str">
        <f>VLOOKUP($A11, 'Test file'!$A:$X, 19, FALSE)</f>
        <v>Unit 70</v>
      </c>
      <c r="J11" s="11" t="str">
        <f>VLOOKUP($A11, 'Test file'!$A:$X, 20, FALSE)</f>
        <v>Davie</v>
      </c>
      <c r="K11" s="11" t="str">
        <f>VLOOKUP($A11, 'Test file'!$A:$X, 21, FALSE)</f>
        <v>State 8</v>
      </c>
      <c r="L11" s="11" t="str">
        <f>VLOOKUP($A11, 'Test file'!$A:$X, 22, FALSE)</f>
        <v>11111</v>
      </c>
      <c r="N11" s="11" t="str">
        <f>VLOOKUP($A11, 'Test file'!$A:$Q, 8, FALSE)</f>
        <v>(654) 673-9965</v>
      </c>
      <c r="O11" s="11" t="str">
        <f>VLOOKUP($A11, 'Test file'!$A:$X, 9, FALSE)</f>
        <v>Client</v>
      </c>
      <c r="P11" s="11" t="str">
        <f>VLOOKUP($A11, 'Test file'!$A:$X, 10, FALSE)</f>
        <v>email@klhj.com</v>
      </c>
      <c r="R11" s="12">
        <f>VLOOKUP($A11, 'Test file'!$A:$Q, 12, FALSE)</f>
        <v>27130</v>
      </c>
      <c r="U11" s="11" t="str">
        <f>TRIM(VLOOKUP($A11, 'Test file'!$A:$Q, 15, FALSE))</f>
        <v>Marjorie Nishimata</v>
      </c>
      <c r="V11" s="11">
        <f>VLOOKUP($A11, 'Test file'!$A:$X, 16,FALSE)</f>
        <v>8536123</v>
      </c>
    </row>
    <row r="12" spans="1:22" s="7" customFormat="1" x14ac:dyDescent="0.3">
      <c r="A12" s="6">
        <v>14931136</v>
      </c>
      <c r="B12" s="6" t="str">
        <f>VLOOKUP($A12, 'Test file'!$A:$Q, 2, FALSE)</f>
        <v>Hamdy</v>
      </c>
      <c r="C12" s="6"/>
      <c r="D12" s="6" t="str">
        <f>VLOOKUP($A12, 'Test file'!$A:$Q, 4, FALSE)</f>
        <v>Fayad</v>
      </c>
      <c r="E12" s="7" t="str">
        <f>VLOOKUP($A12, 'Test file'!$A:$Q, 17, FALSE)</f>
        <v>Fayad, Hamdy</v>
      </c>
      <c r="G12" s="7" t="str">
        <f>VLOOKUP($A12, 'Test file'!$A:$Q, 6, FALSE)</f>
        <v>2036 Bryan Street,  ,Houston, State 9, 11111</v>
      </c>
      <c r="H12" s="7" t="str">
        <f>VLOOKUP($A12, 'Test file'!$A:$X, 18, FALSE)</f>
        <v>2036 Bryan Street</v>
      </c>
      <c r="I12" s="7" t="str">
        <f>VLOOKUP($A12, 'Test file'!$A:$X, 19, FALSE)</f>
        <v/>
      </c>
      <c r="J12" s="7" t="str">
        <f>VLOOKUP($A12, 'Test file'!$A:$X, 20, FALSE)</f>
        <v>Houston</v>
      </c>
      <c r="K12" s="7" t="str">
        <f>VLOOKUP($A12, 'Test file'!$A:$X, 21, FALSE)</f>
        <v>State 9</v>
      </c>
      <c r="L12" s="7" t="str">
        <f>VLOOKUP($A12, 'Test file'!$A:$X, 22, FALSE)</f>
        <v>11111</v>
      </c>
      <c r="N12" s="7">
        <f>VLOOKUP($A12, 'Test file'!$A:$Q, 8, FALSE)</f>
        <v>7345754375</v>
      </c>
      <c r="O12" s="7" t="str">
        <f>VLOOKUP($A12, 'Test file'!$A:$X, 9, FALSE)</f>
        <v>Client</v>
      </c>
      <c r="P12" s="7" t="str">
        <f>VLOOKUP($A12, 'Test file'!$A:$X, 10, FALSE)</f>
        <v>dkhnfds@emial.com</v>
      </c>
      <c r="R12" s="8"/>
      <c r="U12" s="7" t="str">
        <f>TRIM(VLOOKUP($A12, 'Test file'!$A:$Q, 15, FALSE))</f>
        <v>King Market/SFDPH</v>
      </c>
      <c r="V12" s="7">
        <f>VLOOKUP($A12, 'Test file'!$A:$X, 16,FALSE)</f>
        <v>8907389</v>
      </c>
    </row>
    <row r="13" spans="1:22" s="11" customFormat="1" x14ac:dyDescent="0.3">
      <c r="A13" s="9">
        <v>15482333</v>
      </c>
      <c r="B13" s="10" t="str">
        <f>VLOOKUP($A13, 'Test file'!$A:$Q, 2, FALSE)</f>
        <v>Jaime</v>
      </c>
      <c r="C13" s="10" t="str">
        <f>VLOOKUP($A13, 'Test file'!$A:$Q, 3, FALSE)</f>
        <v>Lee</v>
      </c>
      <c r="D13" s="10" t="str">
        <f>VLOOKUP($A13, 'Test file'!$A:$Q, 4, FALSE)</f>
        <v>Hersey</v>
      </c>
      <c r="E13" s="11" t="str">
        <f>VLOOKUP($A13, 'Test file'!$A:$Q, 17, FALSE)</f>
        <v>Hersey, Jaime Lee</v>
      </c>
      <c r="G13" s="11" t="str">
        <f>VLOOKUP($A13, 'Test file'!$A:$Q, 6, FALSE)</f>
        <v>99 W 10th Avenue, Unit 14D,  Flint, State 10, 11111</v>
      </c>
      <c r="H13" s="11" t="str">
        <f>VLOOKUP($A13, 'Test file'!$A:$X, 18, FALSE)</f>
        <v>99 W 10th Avenue</v>
      </c>
      <c r="I13" s="11" t="str">
        <f>VLOOKUP($A13, 'Test file'!$A:$X, 19, FALSE)</f>
        <v>Unit 14D</v>
      </c>
      <c r="J13" s="11" t="str">
        <f>VLOOKUP($A13, 'Test file'!$A:$X, 20, FALSE)</f>
        <v>Flint</v>
      </c>
      <c r="K13" s="11" t="str">
        <f>VLOOKUP($A13, 'Test file'!$A:$X, 21, FALSE)</f>
        <v>State 10</v>
      </c>
      <c r="L13" s="11" t="str">
        <f>VLOOKUP($A13, 'Test file'!$A:$X, 22, FALSE)</f>
        <v>11111</v>
      </c>
      <c r="N13" s="11">
        <f>VLOOKUP($A13, 'Test file'!$A:$Q, 8, FALSE)</f>
        <v>11111111111</v>
      </c>
      <c r="O13" s="11" t="str">
        <f>VLOOKUP($A13, 'Test file'!$A:$X, 9, FALSE)</f>
        <v>Client</v>
      </c>
      <c r="P13" s="11" t="str">
        <f>VLOOKUP($A13, 'Test file'!$A:$X, 10, FALSE)</f>
        <v>me@aaa.com</v>
      </c>
      <c r="R13" s="12">
        <f>VLOOKUP($A13, 'Test file'!$A:$Q, 12, FALSE)</f>
        <v>29271</v>
      </c>
      <c r="U13" s="11" t="str">
        <f>TRIM(VLOOKUP($A13, 'Test file'!$A:$Q, 15, FALSE))</f>
        <v>IRMO Hersey &amp; Banahan</v>
      </c>
      <c r="V13" s="11">
        <f>VLOOKUP($A13, 'Test file'!$A:$X, 16,FALSE)</f>
        <v>9246182</v>
      </c>
    </row>
    <row r="14" spans="1:22" s="7" customFormat="1" x14ac:dyDescent="0.3">
      <c r="A14" s="6">
        <v>15603341</v>
      </c>
      <c r="B14" s="6" t="str">
        <f>VLOOKUP($A14, 'Test file'!$A:$Q, 2, FALSE)</f>
        <v>Andrew</v>
      </c>
      <c r="C14" s="6" t="str">
        <f>VLOOKUP($A14, 'Test file'!$A:$Q, 3, FALSE)</f>
        <v>Rosete</v>
      </c>
      <c r="D14" s="6" t="str">
        <f>VLOOKUP($A14, 'Test file'!$A:$Q, 4, FALSE)</f>
        <v>Valencia</v>
      </c>
      <c r="E14" s="7" t="str">
        <f>VLOOKUP($A14, 'Test file'!$A:$Q, 17, FALSE)</f>
        <v>Valencia, Andrew Rosete</v>
      </c>
      <c r="G14" s="7" t="str">
        <f>VLOOKUP($A14, 'Test file'!$A:$Q, 6, FALSE)</f>
        <v>100 Hylein, Unit 4,  Tampa, State 11, 11111</v>
      </c>
      <c r="H14" s="7" t="str">
        <f>VLOOKUP($A14, 'Test file'!$A:$X, 18, FALSE)</f>
        <v>100 Hylein</v>
      </c>
      <c r="I14" s="7" t="str">
        <f>VLOOKUP($A14, 'Test file'!$A:$X, 19, FALSE)</f>
        <v>Unit 4</v>
      </c>
      <c r="J14" s="7" t="str">
        <f>VLOOKUP($A14, 'Test file'!$A:$X, 20, FALSE)</f>
        <v>Tampa</v>
      </c>
      <c r="K14" s="7" t="str">
        <f>VLOOKUP($A14, 'Test file'!$A:$X, 21, FALSE)</f>
        <v>State 11</v>
      </c>
      <c r="L14" s="7" t="str">
        <f>VLOOKUP($A14, 'Test file'!$A:$X, 22, FALSE)</f>
        <v>11111</v>
      </c>
      <c r="N14" s="7" t="str">
        <f>VLOOKUP($A14, 'Test file'!$A:$Q, 8, FALSE)</f>
        <v>(510) 334-7706</v>
      </c>
      <c r="O14" s="7" t="str">
        <f>VLOOKUP($A14, 'Test file'!$A:$X, 9, FALSE)</f>
        <v>Client</v>
      </c>
      <c r="P14" s="7" t="str">
        <f>VLOOKUP($A14, 'Test file'!$A:$X, 10, FALSE)</f>
        <v>fhasdj@domain.com</v>
      </c>
      <c r="R14" s="8"/>
      <c r="U14" s="7" t="str">
        <f>TRIM(VLOOKUP($A14, 'Test file'!$A:$Q, 15, FALSE))</f>
        <v>IRMO Valencia</v>
      </c>
      <c r="V14" s="7">
        <f>VLOOKUP($A14, 'Test file'!$A:$X, 16,FALSE)</f>
        <v>9336068</v>
      </c>
    </row>
    <row r="15" spans="1:22" s="11" customFormat="1" x14ac:dyDescent="0.3">
      <c r="A15" s="9">
        <v>15703531</v>
      </c>
      <c r="B15" s="10" t="str">
        <f>VLOOKUP($A15, 'Test file'!$A:$Q, 2, FALSE)</f>
        <v>Yen-Ming</v>
      </c>
      <c r="C15" s="10"/>
      <c r="D15" s="10" t="str">
        <f>VLOOKUP($A15, 'Test file'!$A:$Q, 4, FALSE)</f>
        <v>Hou</v>
      </c>
      <c r="E15" s="11" t="str">
        <f>VLOOKUP($A15, 'Test file'!$A:$Q, 17, FALSE)</f>
        <v>Hou, Yen-Ming</v>
      </c>
      <c r="G15" s="11" t="str">
        <f>VLOOKUP($A15, 'Test file'!$A:$Q, 6, FALSE)</f>
        <v>901 Skycreek Drive, #87, Miami, State 12, 11111</v>
      </c>
      <c r="H15" s="11" t="str">
        <f>VLOOKUP($A15, 'Test file'!$A:$X, 18, FALSE)</f>
        <v>901 Skycreek Drive</v>
      </c>
      <c r="I15" s="11" t="str">
        <f>VLOOKUP($A15, 'Test file'!$A:$X, 19, FALSE)</f>
        <v>#87</v>
      </c>
      <c r="J15" s="11" t="str">
        <f>VLOOKUP($A15, 'Test file'!$A:$X, 20, FALSE)</f>
        <v>Miami</v>
      </c>
      <c r="K15" s="11" t="str">
        <f>VLOOKUP($A15, 'Test file'!$A:$X, 21, FALSE)</f>
        <v>State 12</v>
      </c>
      <c r="L15" s="11" t="str">
        <f>VLOOKUP($A15, 'Test file'!$A:$X, 22, FALSE)</f>
        <v>11111</v>
      </c>
      <c r="N15" s="11" t="str">
        <f>VLOOKUP($A15, 'Test file'!$A:$Q, 8, FALSE)</f>
        <v>(650) 862-7558</v>
      </c>
      <c r="O15" s="11" t="str">
        <f>VLOOKUP($A15, 'Test file'!$A:$X, 9, FALSE)</f>
        <v>Client</v>
      </c>
      <c r="P15" s="11" t="str">
        <f>VLOOKUP($A15, 'Test file'!$A:$X, 10, FALSE)</f>
        <v>abc2932496@email.com</v>
      </c>
      <c r="R15" s="12"/>
      <c r="U15" s="11" t="str">
        <f>TRIM(VLOOKUP($A15, 'Test file'!$A:$Q, 15, FALSE))</f>
        <v>IRMO Mulroy &amp; Hou</v>
      </c>
      <c r="V15" s="11">
        <f>VLOOKUP($A15, 'Test file'!$A:$X, 16,FALSE)</f>
        <v>9416495</v>
      </c>
    </row>
    <row r="16" spans="1:22" s="7" customFormat="1" x14ac:dyDescent="0.3">
      <c r="A16" s="6">
        <v>16193894</v>
      </c>
      <c r="B16" s="6" t="str">
        <f>VLOOKUP($A16, 'Test file'!$A:$Q, 2, FALSE)</f>
        <v>Matthew</v>
      </c>
      <c r="C16" s="6" t="str">
        <f>VLOOKUP($A16, 'Test file'!$A:$Q, 3, FALSE)</f>
        <v>Phil</v>
      </c>
      <c r="D16" s="6" t="str">
        <f>VLOOKUP($A16, 'Test file'!$A:$Q, 4, FALSE)</f>
        <v>Bryant</v>
      </c>
      <c r="E16" s="7" t="str">
        <f>VLOOKUP($A16, 'Test file'!$A:$Q, 17, FALSE)</f>
        <v>Bryant, Matthew Phil</v>
      </c>
      <c r="G16" s="7" t="str">
        <f>VLOOKUP($A16, 'Test file'!$A:$Q, 6, FALSE)</f>
        <v>4009 Bayle Street, Apt 803,  Seattle, State 13, 11111</v>
      </c>
      <c r="H16" s="7" t="str">
        <f>VLOOKUP($A16, 'Test file'!$A:$X, 18, FALSE)</f>
        <v>4009 Bayle Street</v>
      </c>
      <c r="I16" s="7" t="str">
        <f>VLOOKUP($A16, 'Test file'!$A:$X, 19, FALSE)</f>
        <v>Apt 803</v>
      </c>
      <c r="J16" s="7" t="str">
        <f>VLOOKUP($A16, 'Test file'!$A:$X, 20, FALSE)</f>
        <v>Seattle</v>
      </c>
      <c r="K16" s="7" t="str">
        <f>VLOOKUP($A16, 'Test file'!$A:$X, 21, FALSE)</f>
        <v>State 13</v>
      </c>
      <c r="L16" s="7" t="str">
        <f>VLOOKUP($A16, 'Test file'!$A:$X, 22, FALSE)</f>
        <v>11111</v>
      </c>
      <c r="O16" s="7" t="str">
        <f>VLOOKUP($A16, 'Test file'!$A:$X, 9, FALSE)</f>
        <v>Client</v>
      </c>
      <c r="P16" s="7" t="str">
        <f>VLOOKUP($A16, 'Test file'!$A:$X, 10, FALSE)</f>
        <v>mandatory@email.com</v>
      </c>
      <c r="R16" s="8">
        <f>VLOOKUP($A16, 'Test file'!$A:$Q, 12, FALSE)</f>
        <v>35057</v>
      </c>
      <c r="U16" s="7" t="str">
        <f>TRIM(VLOOKUP($A16, 'Test file'!$A:$Q, 15, FALSE))</f>
        <v>Matthew Bryant</v>
      </c>
      <c r="V16" s="7">
        <f>VLOOKUP($A16, 'Test file'!$A:$X, 16,FALSE)</f>
        <v>9755543</v>
      </c>
    </row>
    <row r="17" spans="1:22" s="11" customFormat="1" x14ac:dyDescent="0.3">
      <c r="A17" s="9">
        <v>16438810</v>
      </c>
      <c r="B17" s="10" t="str">
        <f>VLOOKUP($A17, 'Test file'!$A:$Q, 2, FALSE)</f>
        <v>Brittany</v>
      </c>
      <c r="C17" s="10" t="str">
        <f>VLOOKUP($A17, 'Test file'!$A:$Q, 3, FALSE)</f>
        <v>Christine</v>
      </c>
      <c r="D17" s="10" t="str">
        <f>VLOOKUP($A17, 'Test file'!$A:$Q, 4, FALSE)</f>
        <v>Scanlan</v>
      </c>
      <c r="E17" s="11" t="str">
        <f>VLOOKUP($A17, 'Test file'!$A:$Q, 17, FALSE)</f>
        <v>Scanlan, Brittany Christine</v>
      </c>
      <c r="G17" s="11" t="str">
        <f>VLOOKUP($A17, 'Test file'!$A:$Q, 6, FALSE)</f>
        <v>101 Boardway Ave., Apt.#21,  Fort Lauderdale, State 14, 11111</v>
      </c>
      <c r="H17" s="11" t="str">
        <f>VLOOKUP($A17, 'Test file'!$A:$X, 18, FALSE)</f>
        <v>101 Boardway Ave.</v>
      </c>
      <c r="I17" s="11" t="str">
        <f>VLOOKUP($A17, 'Test file'!$A:$X, 19, FALSE)</f>
        <v>Apt.#21</v>
      </c>
      <c r="J17" s="11" t="str">
        <f>VLOOKUP($A17, 'Test file'!$A:$X, 20, FALSE)</f>
        <v>Fort Lauderdale</v>
      </c>
      <c r="K17" s="11" t="str">
        <f>VLOOKUP($A17, 'Test file'!$A:$X, 21, FALSE)</f>
        <v>State 14</v>
      </c>
      <c r="L17" s="11" t="str">
        <f>VLOOKUP($A17, 'Test file'!$A:$X, 22, FALSE)</f>
        <v>11111</v>
      </c>
      <c r="N17" s="11" t="str">
        <f>VLOOKUP($A17, 'Test file'!$A:$Q, 8, FALSE)</f>
        <v>(650) 580-4455 or (564) 189-2467</v>
      </c>
      <c r="O17" s="11" t="str">
        <f>VLOOKUP($A17, 'Test file'!$A:$X, 9, FALSE)</f>
        <v>Client</v>
      </c>
      <c r="P17" s="11" t="str">
        <f>VLOOKUP($A17, 'Test file'!$A:$X, 10, FALSE)</f>
        <v>bri@aaaaa.com</v>
      </c>
      <c r="R17" s="12"/>
      <c r="U17" s="11" t="str">
        <f>TRIM(VLOOKUP($A17, 'Test file'!$A:$Q, 15, FALSE))</f>
        <v>IRMO Scanlan</v>
      </c>
      <c r="V17" s="11">
        <f>VLOOKUP($A17, 'Test file'!$A:$X, 16,FALSE)</f>
        <v>9928699</v>
      </c>
    </row>
    <row r="18" spans="1:22" s="7" customFormat="1" x14ac:dyDescent="0.3">
      <c r="A18" s="6">
        <v>16480369</v>
      </c>
      <c r="B18" s="6" t="str">
        <f>VLOOKUP($A18, 'Test file'!$A:$Q, 2, FALSE)</f>
        <v>Lauren</v>
      </c>
      <c r="C18" s="6"/>
      <c r="D18" s="6" t="str">
        <f>VLOOKUP($A18, 'Test file'!$A:$Q, 4, FALSE)</f>
        <v>Gotelli</v>
      </c>
      <c r="E18" s="7" t="str">
        <f>VLOOKUP($A18, 'Test file'!$A:$Q, 17, FALSE)</f>
        <v>Gotelli, Lauren</v>
      </c>
      <c r="G18" s="7" t="str">
        <f>VLOOKUP($A18, 'Test file'!$A:$Q, 6, FALSE)</f>
        <v>6078 Burneigh Ave., #3,  Orlando, State 15, 11111</v>
      </c>
      <c r="H18" s="7" t="str">
        <f>VLOOKUP($A18, 'Test file'!$A:$X, 18, FALSE)</f>
        <v>6078 Burneigh Ave.</v>
      </c>
      <c r="I18" s="7" t="str">
        <f>VLOOKUP($A18, 'Test file'!$A:$X, 19, FALSE)</f>
        <v>#3</v>
      </c>
      <c r="J18" s="7" t="str">
        <f>VLOOKUP($A18, 'Test file'!$A:$X, 20, FALSE)</f>
        <v>Orlando</v>
      </c>
      <c r="K18" s="7" t="str">
        <f>VLOOKUP($A18, 'Test file'!$A:$X, 21, FALSE)</f>
        <v>State 15</v>
      </c>
      <c r="L18" s="7" t="str">
        <f>VLOOKUP($A18, 'Test file'!$A:$X, 22, FALSE)</f>
        <v>11111</v>
      </c>
      <c r="N18" s="7" t="str">
        <f>VLOOKUP($A18, 'Test file'!$A:$Q, 8, FALSE)</f>
        <v>(415) 418-8395</v>
      </c>
      <c r="O18" s="7" t="str">
        <f>VLOOKUP($A18, 'Test file'!$A:$X, 9, FALSE)</f>
        <v>Client</v>
      </c>
      <c r="R18" s="8">
        <f>VLOOKUP($A18, 'Test file'!$A:$Q, 12, FALSE)</f>
        <v>24016</v>
      </c>
      <c r="U18" s="7" t="str">
        <f>TRIM(VLOOKUP($A18, 'Test file'!$A:$Q, 15, FALSE))</f>
        <v>Lauren Gotelli</v>
      </c>
      <c r="V18" s="7">
        <f>VLOOKUP($A18, 'Test file'!$A:$X, 16,FALSE)</f>
        <v>9953780</v>
      </c>
    </row>
    <row r="19" spans="1:22" s="11" customFormat="1" x14ac:dyDescent="0.3">
      <c r="A19" s="9">
        <v>17820681</v>
      </c>
      <c r="B19" s="10" t="str">
        <f>VLOOKUP($A19, 'Test file'!$A:$Q, 2, FALSE)</f>
        <v>Margarita</v>
      </c>
      <c r="C19" s="10" t="str">
        <f>VLOOKUP($A19, 'Test file'!$A:$Q, 3, FALSE)</f>
        <v xml:space="preserve">                </v>
      </c>
      <c r="D19" s="10" t="str">
        <f>VLOOKUP($A19, 'Test file'!$A:$Q, 4, FALSE)</f>
        <v>Gutierrez</v>
      </c>
      <c r="E19" s="11" t="str">
        <f>VLOOKUP($A19, 'Test file'!$A:$Q, 17, FALSE)</f>
        <v>Gutierrez, Margarita</v>
      </c>
      <c r="G19" s="11" t="str">
        <f>VLOOKUP($A19, 'Test file'!$A:$Q, 6, FALSE)</f>
        <v>9087 Christmas Drive, # 101, Las Vegas, State 16, 11111</v>
      </c>
      <c r="H19" s="11" t="str">
        <f>VLOOKUP($A19, 'Test file'!$A:$X, 18, FALSE)</f>
        <v>9087 Christmas Drive</v>
      </c>
      <c r="I19" s="11" t="str">
        <f>VLOOKUP($A19, 'Test file'!$A:$X, 19, FALSE)</f>
        <v># 101</v>
      </c>
      <c r="J19" s="11" t="str">
        <f>VLOOKUP($A19, 'Test file'!$A:$X, 20, FALSE)</f>
        <v>Las Vegas</v>
      </c>
      <c r="K19" s="11" t="str">
        <f>VLOOKUP($A19, 'Test file'!$A:$X, 21, FALSE)</f>
        <v>State 16</v>
      </c>
      <c r="L19" s="11" t="str">
        <f>VLOOKUP($A19, 'Test file'!$A:$X, 22, FALSE)</f>
        <v>11111</v>
      </c>
      <c r="O19" s="11" t="str">
        <f>VLOOKUP($A19, 'Test file'!$A:$X, 9, FALSE)</f>
        <v>Client</v>
      </c>
      <c r="P19" s="11" t="str">
        <f>VLOOKUP($A19, 'Test file'!$A:$X, 10, FALSE)</f>
        <v>gah@domain.com</v>
      </c>
      <c r="R19" s="12"/>
      <c r="U19" s="11" t="str">
        <f>TRIM(VLOOKUP($A19, 'Test file'!$A:$Q, 15, FALSE))</f>
        <v>Margarita Gutierrez</v>
      </c>
      <c r="V19" s="11">
        <f>VLOOKUP($A19, 'Test file'!$A:$X, 16,FALSE)</f>
        <v>10759701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V2" sqref="V2"/>
    </sheetView>
  </sheetViews>
  <sheetFormatPr defaultColWidth="12.6640625" defaultRowHeight="15" customHeight="1" x14ac:dyDescent="0.3"/>
  <cols>
    <col min="1" max="4" width="8.6640625" customWidth="1"/>
    <col min="5" max="5" width="24.6640625" customWidth="1"/>
    <col min="6" max="6" width="8.6640625" customWidth="1"/>
    <col min="7" max="7" width="36.33203125" customWidth="1"/>
    <col min="8" max="8" width="24.77734375" customWidth="1"/>
    <col min="9" max="9" width="13" customWidth="1"/>
    <col min="10" max="17" width="8.6640625" customWidth="1"/>
    <col min="18" max="18" width="10.33203125" customWidth="1"/>
    <col min="19" max="20" width="8.6640625" customWidth="1"/>
    <col min="21" max="21" width="35.21875" customWidth="1"/>
    <col min="22" max="26" width="8.6640625" customWidth="1"/>
  </cols>
  <sheetData>
    <row r="1" spans="1:2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4</v>
      </c>
      <c r="G1" s="1" t="s">
        <v>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</row>
    <row r="2" spans="1:22" ht="14.4" x14ac:dyDescent="0.3">
      <c r="A2" s="1">
        <v>7398191</v>
      </c>
      <c r="B2" s="1" t="s">
        <v>16</v>
      </c>
      <c r="C2" s="1" t="s">
        <v>17</v>
      </c>
      <c r="D2" s="1" t="s">
        <v>18</v>
      </c>
      <c r="E2" s="1" t="s">
        <v>131</v>
      </c>
      <c r="F2" s="1"/>
      <c r="G2" s="1" t="s">
        <v>19</v>
      </c>
      <c r="H2" s="3" t="s">
        <v>132</v>
      </c>
      <c r="I2" s="1" t="s">
        <v>132</v>
      </c>
      <c r="J2" s="1"/>
      <c r="K2" s="1"/>
      <c r="L2" s="1"/>
      <c r="M2" s="1"/>
      <c r="N2" s="1"/>
      <c r="O2" s="1" t="s">
        <v>20</v>
      </c>
      <c r="P2" s="1"/>
      <c r="Q2" s="1"/>
      <c r="R2" s="4"/>
      <c r="S2" s="1"/>
      <c r="T2" s="1"/>
      <c r="U2" s="1" t="s">
        <v>133</v>
      </c>
      <c r="V2" s="1">
        <v>3783285</v>
      </c>
    </row>
    <row r="3" spans="1:22" ht="14.4" x14ac:dyDescent="0.3">
      <c r="A3" s="1">
        <v>7439820</v>
      </c>
      <c r="B3" s="1" t="s">
        <v>22</v>
      </c>
      <c r="C3" s="1" t="s">
        <v>23</v>
      </c>
      <c r="D3" s="1" t="s">
        <v>24</v>
      </c>
      <c r="E3" s="1" t="s">
        <v>134</v>
      </c>
      <c r="F3" s="1"/>
      <c r="G3" s="1" t="s">
        <v>25</v>
      </c>
      <c r="H3" s="3" t="s">
        <v>135</v>
      </c>
      <c r="I3" s="1" t="s">
        <v>136</v>
      </c>
      <c r="J3" s="1" t="s">
        <v>137</v>
      </c>
      <c r="K3" s="1" t="s">
        <v>138</v>
      </c>
      <c r="L3" s="1">
        <v>11111</v>
      </c>
      <c r="M3" s="1"/>
      <c r="N3" s="1" t="s">
        <v>26</v>
      </c>
      <c r="O3" s="1" t="s">
        <v>20</v>
      </c>
      <c r="P3" s="2" t="s">
        <v>27</v>
      </c>
      <c r="Q3" s="1"/>
      <c r="R3" s="4"/>
      <c r="S3" s="1"/>
      <c r="T3" s="1"/>
      <c r="U3" s="1" t="s">
        <v>139</v>
      </c>
      <c r="V3" s="1">
        <v>3810123</v>
      </c>
    </row>
    <row r="4" spans="1:22" ht="14.4" x14ac:dyDescent="0.3">
      <c r="A4" s="1">
        <v>7451828</v>
      </c>
      <c r="B4" s="1" t="s">
        <v>29</v>
      </c>
      <c r="C4" s="1" t="s">
        <v>19</v>
      </c>
      <c r="D4" s="1" t="s">
        <v>30</v>
      </c>
      <c r="E4" s="1" t="s">
        <v>140</v>
      </c>
      <c r="F4" s="1"/>
      <c r="G4" s="1" t="s">
        <v>19</v>
      </c>
      <c r="H4" s="3" t="s">
        <v>132</v>
      </c>
      <c r="I4" s="1" t="s">
        <v>132</v>
      </c>
      <c r="J4" s="1"/>
      <c r="K4" s="1"/>
      <c r="L4" s="1"/>
      <c r="M4" s="1"/>
      <c r="N4" s="1"/>
      <c r="O4" s="1" t="s">
        <v>20</v>
      </c>
      <c r="P4" s="2" t="s">
        <v>31</v>
      </c>
      <c r="Q4" s="1"/>
      <c r="R4" s="4"/>
      <c r="S4" s="1"/>
      <c r="T4" s="1"/>
      <c r="U4" s="1" t="s">
        <v>141</v>
      </c>
      <c r="V4" s="1">
        <v>3820215</v>
      </c>
    </row>
    <row r="5" spans="1:22" ht="14.4" x14ac:dyDescent="0.3">
      <c r="A5" s="1">
        <v>7871642</v>
      </c>
      <c r="B5" s="1" t="s">
        <v>33</v>
      </c>
      <c r="C5" s="1" t="s">
        <v>34</v>
      </c>
      <c r="D5" s="1" t="s">
        <v>35</v>
      </c>
      <c r="E5" s="1" t="s">
        <v>142</v>
      </c>
      <c r="F5" s="1"/>
      <c r="G5" s="1" t="s">
        <v>36</v>
      </c>
      <c r="H5" s="3" t="s">
        <v>143</v>
      </c>
      <c r="I5" s="1" t="s">
        <v>144</v>
      </c>
      <c r="J5" s="1" t="s">
        <v>145</v>
      </c>
      <c r="K5" s="1" t="s">
        <v>146</v>
      </c>
      <c r="L5" s="1">
        <v>11111</v>
      </c>
      <c r="M5" s="1"/>
      <c r="N5" s="1" t="s">
        <v>37</v>
      </c>
      <c r="O5" s="1" t="s">
        <v>20</v>
      </c>
      <c r="P5" s="2" t="s">
        <v>38</v>
      </c>
      <c r="Q5" s="1"/>
      <c r="R5" s="4"/>
      <c r="S5" s="1"/>
      <c r="T5" s="1"/>
      <c r="U5" s="1" t="s">
        <v>39</v>
      </c>
      <c r="V5" s="1">
        <v>4066854</v>
      </c>
    </row>
    <row r="6" spans="1:22" ht="14.4" x14ac:dyDescent="0.3">
      <c r="A6" s="1">
        <v>8004314</v>
      </c>
      <c r="B6" s="1" t="s">
        <v>40</v>
      </c>
      <c r="C6" s="1"/>
      <c r="D6" s="1" t="s">
        <v>41</v>
      </c>
      <c r="E6" s="1" t="s">
        <v>147</v>
      </c>
      <c r="F6" s="1"/>
      <c r="G6" s="1" t="s">
        <v>42</v>
      </c>
      <c r="H6" s="3" t="s">
        <v>148</v>
      </c>
      <c r="I6" s="1" t="s">
        <v>132</v>
      </c>
      <c r="J6" s="1" t="s">
        <v>149</v>
      </c>
      <c r="K6" s="1" t="s">
        <v>150</v>
      </c>
      <c r="L6" s="1">
        <v>11111</v>
      </c>
      <c r="M6" s="1"/>
      <c r="N6" s="1"/>
      <c r="O6" s="1" t="s">
        <v>20</v>
      </c>
      <c r="P6" s="2" t="s">
        <v>43</v>
      </c>
      <c r="Q6" s="1"/>
      <c r="R6" s="4">
        <v>31648</v>
      </c>
      <c r="S6" s="1"/>
      <c r="T6" s="1" t="s">
        <v>44</v>
      </c>
      <c r="U6" s="1" t="s">
        <v>151</v>
      </c>
      <c r="V6" s="1">
        <v>4134776</v>
      </c>
    </row>
    <row r="7" spans="1:22" ht="14.4" x14ac:dyDescent="0.3">
      <c r="A7" s="1">
        <v>8393082</v>
      </c>
      <c r="B7" s="1" t="s">
        <v>46</v>
      </c>
      <c r="C7" s="1" t="s">
        <v>47</v>
      </c>
      <c r="D7" s="1" t="s">
        <v>48</v>
      </c>
      <c r="E7" s="1" t="s">
        <v>152</v>
      </c>
      <c r="F7" s="1"/>
      <c r="G7" s="1" t="s">
        <v>49</v>
      </c>
      <c r="H7" s="3" t="s">
        <v>153</v>
      </c>
      <c r="I7" s="1" t="s">
        <v>132</v>
      </c>
      <c r="J7" s="1" t="s">
        <v>154</v>
      </c>
      <c r="K7" s="1" t="s">
        <v>155</v>
      </c>
      <c r="L7" s="1">
        <v>11111</v>
      </c>
      <c r="M7" s="1"/>
      <c r="N7" s="1" t="s">
        <v>50</v>
      </c>
      <c r="O7" s="1" t="s">
        <v>20</v>
      </c>
      <c r="P7" s="2" t="s">
        <v>51</v>
      </c>
      <c r="Q7" s="1"/>
      <c r="R7" s="4"/>
      <c r="S7" s="1"/>
      <c r="T7" s="1"/>
      <c r="U7" s="1" t="s">
        <v>156</v>
      </c>
      <c r="V7" s="1">
        <v>4411263</v>
      </c>
    </row>
    <row r="8" spans="1:22" ht="14.4" x14ac:dyDescent="0.3">
      <c r="A8" s="1">
        <v>8797264</v>
      </c>
      <c r="B8" s="1" t="s">
        <v>53</v>
      </c>
      <c r="C8" s="1"/>
      <c r="D8" s="1" t="s">
        <v>54</v>
      </c>
      <c r="E8" s="1" t="s">
        <v>157</v>
      </c>
      <c r="F8" s="1"/>
      <c r="G8" s="1" t="s">
        <v>55</v>
      </c>
      <c r="H8" s="3" t="s">
        <v>158</v>
      </c>
      <c r="I8" s="1" t="s">
        <v>159</v>
      </c>
      <c r="J8" s="1" t="s">
        <v>160</v>
      </c>
      <c r="K8" s="1" t="s">
        <v>161</v>
      </c>
      <c r="L8" s="1">
        <v>11111</v>
      </c>
      <c r="M8" s="1"/>
      <c r="N8" s="1" t="s">
        <v>56</v>
      </c>
      <c r="O8" s="1" t="s">
        <v>20</v>
      </c>
      <c r="P8" s="2" t="s">
        <v>57</v>
      </c>
      <c r="Q8" s="1"/>
      <c r="R8" s="4"/>
      <c r="S8" s="1"/>
      <c r="T8" s="1"/>
      <c r="U8" s="1" t="s">
        <v>58</v>
      </c>
      <c r="V8" s="1">
        <v>4663111</v>
      </c>
    </row>
    <row r="9" spans="1:22" ht="14.4" x14ac:dyDescent="0.3">
      <c r="A9" s="1">
        <v>8886849</v>
      </c>
      <c r="B9" s="1" t="s">
        <v>59</v>
      </c>
      <c r="C9" s="1"/>
      <c r="D9" s="1" t="s">
        <v>60</v>
      </c>
      <c r="E9" s="1" t="s">
        <v>162</v>
      </c>
      <c r="F9" s="1"/>
      <c r="G9" s="1" t="s">
        <v>61</v>
      </c>
      <c r="H9" s="3" t="s">
        <v>163</v>
      </c>
      <c r="I9" s="1" t="s">
        <v>164</v>
      </c>
      <c r="J9" s="1" t="s">
        <v>165</v>
      </c>
      <c r="K9" s="1" t="s">
        <v>166</v>
      </c>
      <c r="L9" s="1">
        <v>11111</v>
      </c>
      <c r="M9" s="1"/>
      <c r="N9" s="1" t="s">
        <v>62</v>
      </c>
      <c r="O9" s="1" t="s">
        <v>20</v>
      </c>
      <c r="P9" s="2" t="s">
        <v>63</v>
      </c>
      <c r="Q9" s="1"/>
      <c r="R9" s="4"/>
      <c r="S9" s="1"/>
      <c r="T9" s="1"/>
      <c r="U9" s="1" t="s">
        <v>167</v>
      </c>
      <c r="V9" s="1">
        <v>4723026</v>
      </c>
    </row>
    <row r="10" spans="1:22" ht="14.4" x14ac:dyDescent="0.3">
      <c r="A10" s="1">
        <v>14280362</v>
      </c>
      <c r="B10" s="1" t="s">
        <v>65</v>
      </c>
      <c r="C10" s="1"/>
      <c r="D10" s="1" t="s">
        <v>66</v>
      </c>
      <c r="E10" s="1" t="s">
        <v>168</v>
      </c>
      <c r="F10" s="1"/>
      <c r="G10" s="1" t="s">
        <v>67</v>
      </c>
      <c r="H10" s="3" t="s">
        <v>169</v>
      </c>
      <c r="I10" s="1" t="s">
        <v>132</v>
      </c>
      <c r="J10" s="1" t="s">
        <v>170</v>
      </c>
      <c r="K10" s="1" t="s">
        <v>171</v>
      </c>
      <c r="L10" s="1">
        <v>11111</v>
      </c>
      <c r="M10" s="1"/>
      <c r="N10" s="1"/>
      <c r="O10" s="1" t="s">
        <v>20</v>
      </c>
      <c r="P10" s="1"/>
      <c r="Q10" s="1"/>
      <c r="R10" s="4"/>
      <c r="S10" s="1" t="s">
        <v>68</v>
      </c>
      <c r="T10" s="1"/>
      <c r="U10" s="1" t="s">
        <v>172</v>
      </c>
      <c r="V10" s="1">
        <v>8536109</v>
      </c>
    </row>
    <row r="11" spans="1:22" ht="14.4" x14ac:dyDescent="0.3">
      <c r="A11" s="1">
        <v>14280377</v>
      </c>
      <c r="B11" s="1" t="s">
        <v>70</v>
      </c>
      <c r="C11" s="1" t="s">
        <v>71</v>
      </c>
      <c r="D11" s="1" t="s">
        <v>72</v>
      </c>
      <c r="E11" s="1" t="s">
        <v>173</v>
      </c>
      <c r="F11" s="1"/>
      <c r="G11" s="1" t="s">
        <v>73</v>
      </c>
      <c r="H11" s="3" t="s">
        <v>174</v>
      </c>
      <c r="I11" s="1" t="s">
        <v>175</v>
      </c>
      <c r="J11" s="1" t="s">
        <v>176</v>
      </c>
      <c r="K11" s="1" t="s">
        <v>177</v>
      </c>
      <c r="L11" s="1">
        <v>11111</v>
      </c>
      <c r="M11" s="1"/>
      <c r="N11" s="1" t="s">
        <v>74</v>
      </c>
      <c r="O11" s="1" t="s">
        <v>20</v>
      </c>
      <c r="P11" s="2" t="s">
        <v>75</v>
      </c>
      <c r="Q11" s="1"/>
      <c r="R11" s="4">
        <v>27130</v>
      </c>
      <c r="S11" s="1"/>
      <c r="T11" s="1"/>
      <c r="U11" s="1" t="s">
        <v>178</v>
      </c>
      <c r="V11" s="1">
        <v>8536123</v>
      </c>
    </row>
    <row r="12" spans="1:22" ht="14.4" x14ac:dyDescent="0.3">
      <c r="A12" s="1">
        <v>14931136</v>
      </c>
      <c r="B12" s="1" t="s">
        <v>77</v>
      </c>
      <c r="C12" s="1"/>
      <c r="D12" s="1" t="s">
        <v>78</v>
      </c>
      <c r="E12" s="1" t="s">
        <v>179</v>
      </c>
      <c r="F12" s="1"/>
      <c r="G12" s="1" t="s">
        <v>79</v>
      </c>
      <c r="H12" s="3" t="s">
        <v>180</v>
      </c>
      <c r="I12" s="1" t="s">
        <v>132</v>
      </c>
      <c r="J12" s="1" t="s">
        <v>181</v>
      </c>
      <c r="K12" s="1" t="s">
        <v>182</v>
      </c>
      <c r="L12" s="1">
        <v>11111</v>
      </c>
      <c r="M12" s="1"/>
      <c r="N12" s="1">
        <v>7345754375</v>
      </c>
      <c r="O12" s="1" t="s">
        <v>20</v>
      </c>
      <c r="P12" s="2" t="s">
        <v>80</v>
      </c>
      <c r="Q12" s="1"/>
      <c r="R12" s="4"/>
      <c r="S12" s="1"/>
      <c r="T12" s="1"/>
      <c r="U12" s="1" t="s">
        <v>183</v>
      </c>
      <c r="V12" s="1">
        <v>8907389</v>
      </c>
    </row>
    <row r="13" spans="1:22" ht="14.4" x14ac:dyDescent="0.3">
      <c r="A13" s="1">
        <v>15482333</v>
      </c>
      <c r="B13" s="1" t="s">
        <v>82</v>
      </c>
      <c r="C13" s="1" t="s">
        <v>83</v>
      </c>
      <c r="D13" s="1" t="s">
        <v>84</v>
      </c>
      <c r="E13" s="1" t="s">
        <v>184</v>
      </c>
      <c r="F13" s="1"/>
      <c r="G13" s="1" t="s">
        <v>85</v>
      </c>
      <c r="H13" s="3" t="s">
        <v>185</v>
      </c>
      <c r="I13" s="1" t="s">
        <v>186</v>
      </c>
      <c r="J13" s="1" t="s">
        <v>187</v>
      </c>
      <c r="K13" s="1" t="s">
        <v>188</v>
      </c>
      <c r="L13" s="1">
        <v>11111</v>
      </c>
      <c r="M13" s="1"/>
      <c r="N13" s="1">
        <v>11111111111</v>
      </c>
      <c r="O13" s="1" t="s">
        <v>20</v>
      </c>
      <c r="P13" s="2" t="s">
        <v>86</v>
      </c>
      <c r="Q13" s="1"/>
      <c r="R13" s="4">
        <v>29271</v>
      </c>
      <c r="S13" s="1"/>
      <c r="T13" s="1"/>
      <c r="U13" s="1" t="s">
        <v>87</v>
      </c>
      <c r="V13" s="1">
        <v>9246182</v>
      </c>
    </row>
    <row r="14" spans="1:22" ht="14.4" x14ac:dyDescent="0.3">
      <c r="A14" s="1">
        <v>15603341</v>
      </c>
      <c r="B14" s="1" t="s">
        <v>88</v>
      </c>
      <c r="C14" s="1" t="s">
        <v>89</v>
      </c>
      <c r="D14" s="1" t="s">
        <v>90</v>
      </c>
      <c r="E14" s="1" t="s">
        <v>189</v>
      </c>
      <c r="F14" s="1"/>
      <c r="G14" s="1" t="s">
        <v>91</v>
      </c>
      <c r="H14" s="3" t="s">
        <v>190</v>
      </c>
      <c r="I14" s="1" t="s">
        <v>191</v>
      </c>
      <c r="J14" s="1" t="s">
        <v>192</v>
      </c>
      <c r="K14" s="1" t="s">
        <v>193</v>
      </c>
      <c r="L14" s="1">
        <v>11111</v>
      </c>
      <c r="M14" s="1"/>
      <c r="N14" s="1" t="s">
        <v>92</v>
      </c>
      <c r="O14" s="1" t="s">
        <v>20</v>
      </c>
      <c r="P14" s="2" t="s">
        <v>93</v>
      </c>
      <c r="Q14" s="1"/>
      <c r="R14" s="4"/>
      <c r="S14" s="1"/>
      <c r="T14" s="1"/>
      <c r="U14" s="1" t="s">
        <v>94</v>
      </c>
      <c r="V14" s="1">
        <v>9336068</v>
      </c>
    </row>
    <row r="15" spans="1:22" ht="14.4" x14ac:dyDescent="0.3">
      <c r="A15" s="1">
        <v>15703531</v>
      </c>
      <c r="B15" s="1" t="s">
        <v>95</v>
      </c>
      <c r="C15" s="1"/>
      <c r="D15" s="1" t="s">
        <v>96</v>
      </c>
      <c r="E15" s="1" t="s">
        <v>194</v>
      </c>
      <c r="F15" s="1"/>
      <c r="G15" s="1" t="s">
        <v>97</v>
      </c>
      <c r="H15" s="3" t="s">
        <v>195</v>
      </c>
      <c r="I15" s="1" t="s">
        <v>196</v>
      </c>
      <c r="J15" s="1" t="s">
        <v>197</v>
      </c>
      <c r="K15" s="1" t="s">
        <v>198</v>
      </c>
      <c r="L15" s="1">
        <v>11111</v>
      </c>
      <c r="M15" s="1"/>
      <c r="N15" s="1" t="s">
        <v>98</v>
      </c>
      <c r="O15" s="1" t="s">
        <v>20</v>
      </c>
      <c r="P15" s="2" t="s">
        <v>99</v>
      </c>
      <c r="Q15" s="1"/>
      <c r="R15" s="4"/>
      <c r="S15" s="1"/>
      <c r="T15" s="1"/>
      <c r="U15" s="1" t="s">
        <v>199</v>
      </c>
      <c r="V15" s="1">
        <v>9416495</v>
      </c>
    </row>
    <row r="16" spans="1:22" ht="14.4" x14ac:dyDescent="0.3">
      <c r="A16" s="1">
        <v>16193894</v>
      </c>
      <c r="B16" s="1" t="s">
        <v>101</v>
      </c>
      <c r="C16" s="1" t="s">
        <v>102</v>
      </c>
      <c r="D16" s="1" t="s">
        <v>103</v>
      </c>
      <c r="E16" s="1" t="s">
        <v>200</v>
      </c>
      <c r="F16" s="1"/>
      <c r="G16" s="1" t="s">
        <v>104</v>
      </c>
      <c r="H16" s="3" t="s">
        <v>201</v>
      </c>
      <c r="I16" s="1" t="s">
        <v>202</v>
      </c>
      <c r="J16" s="1" t="s">
        <v>203</v>
      </c>
      <c r="K16" s="1" t="s">
        <v>204</v>
      </c>
      <c r="L16" s="1">
        <v>11111</v>
      </c>
      <c r="M16" s="1"/>
      <c r="N16" s="1"/>
      <c r="O16" s="1" t="s">
        <v>20</v>
      </c>
      <c r="P16" s="2" t="s">
        <v>105</v>
      </c>
      <c r="Q16" s="1"/>
      <c r="R16" s="4">
        <v>35057</v>
      </c>
      <c r="S16" s="1"/>
      <c r="T16" s="1"/>
      <c r="U16" s="1" t="s">
        <v>106</v>
      </c>
      <c r="V16" s="1">
        <v>9755543</v>
      </c>
    </row>
    <row r="17" spans="1:22" ht="14.4" x14ac:dyDescent="0.3">
      <c r="A17" s="1">
        <v>16438810</v>
      </c>
      <c r="B17" s="1" t="s">
        <v>107</v>
      </c>
      <c r="C17" s="1" t="s">
        <v>108</v>
      </c>
      <c r="D17" s="1" t="s">
        <v>109</v>
      </c>
      <c r="E17" s="1" t="s">
        <v>205</v>
      </c>
      <c r="F17" s="1"/>
      <c r="G17" s="1" t="s">
        <v>110</v>
      </c>
      <c r="H17" s="3" t="s">
        <v>206</v>
      </c>
      <c r="I17" s="1" t="s">
        <v>207</v>
      </c>
      <c r="J17" s="1" t="s">
        <v>208</v>
      </c>
      <c r="K17" s="1" t="s">
        <v>209</v>
      </c>
      <c r="L17" s="1">
        <v>11111</v>
      </c>
      <c r="M17" s="1"/>
      <c r="N17" s="1" t="s">
        <v>111</v>
      </c>
      <c r="O17" s="1" t="s">
        <v>20</v>
      </c>
      <c r="P17" s="2" t="s">
        <v>112</v>
      </c>
      <c r="Q17" s="1"/>
      <c r="R17" s="4"/>
      <c r="S17" s="1"/>
      <c r="T17" s="1"/>
      <c r="U17" s="1" t="s">
        <v>113</v>
      </c>
      <c r="V17" s="1">
        <v>9928699</v>
      </c>
    </row>
    <row r="18" spans="1:22" ht="14.4" x14ac:dyDescent="0.3">
      <c r="A18" s="1">
        <v>16480369</v>
      </c>
      <c r="B18" s="1" t="s">
        <v>114</v>
      </c>
      <c r="C18" s="1"/>
      <c r="D18" s="1" t="s">
        <v>115</v>
      </c>
      <c r="E18" s="1" t="s">
        <v>210</v>
      </c>
      <c r="F18" s="1"/>
      <c r="G18" s="1" t="s">
        <v>116</v>
      </c>
      <c r="H18" s="3" t="s">
        <v>211</v>
      </c>
      <c r="I18" s="1" t="s">
        <v>212</v>
      </c>
      <c r="J18" s="1" t="s">
        <v>213</v>
      </c>
      <c r="K18" s="1" t="s">
        <v>214</v>
      </c>
      <c r="L18" s="1">
        <v>11111</v>
      </c>
      <c r="M18" s="1"/>
      <c r="N18" s="1" t="s">
        <v>117</v>
      </c>
      <c r="O18" s="1" t="s">
        <v>20</v>
      </c>
      <c r="P18" s="1"/>
      <c r="Q18" s="1"/>
      <c r="R18" s="4">
        <v>24016</v>
      </c>
      <c r="S18" s="1"/>
      <c r="T18" s="1"/>
      <c r="U18" s="1" t="s">
        <v>118</v>
      </c>
      <c r="V18" s="1">
        <v>9953780</v>
      </c>
    </row>
    <row r="19" spans="1:22" ht="14.4" x14ac:dyDescent="0.3">
      <c r="A19" s="1">
        <v>17820681</v>
      </c>
      <c r="B19" s="1" t="s">
        <v>119</v>
      </c>
      <c r="C19" s="1" t="s">
        <v>120</v>
      </c>
      <c r="D19" s="1" t="s">
        <v>121</v>
      </c>
      <c r="E19" s="1" t="s">
        <v>215</v>
      </c>
      <c r="F19" s="1"/>
      <c r="G19" s="1" t="s">
        <v>122</v>
      </c>
      <c r="H19" s="3" t="s">
        <v>216</v>
      </c>
      <c r="I19" s="1" t="s">
        <v>217</v>
      </c>
      <c r="J19" s="1" t="s">
        <v>218</v>
      </c>
      <c r="K19" s="1" t="s">
        <v>219</v>
      </c>
      <c r="L19" s="1">
        <v>11111</v>
      </c>
      <c r="M19" s="1"/>
      <c r="N19" s="1"/>
      <c r="O19" s="1" t="s">
        <v>20</v>
      </c>
      <c r="P19" s="2" t="s">
        <v>123</v>
      </c>
      <c r="Q19" s="1"/>
      <c r="R19" s="4"/>
      <c r="S19" s="1"/>
      <c r="T19" s="1"/>
      <c r="U19" s="1" t="s">
        <v>124</v>
      </c>
      <c r="V19" s="1">
        <v>10759701</v>
      </c>
    </row>
    <row r="21" spans="1:22" ht="15.75" customHeight="1" x14ac:dyDescent="0.3">
      <c r="A21" t="s">
        <v>220</v>
      </c>
    </row>
    <row r="22" spans="1:22" ht="15.75" customHeight="1" x14ac:dyDescent="0.3"/>
    <row r="23" spans="1:22" ht="15.75" customHeight="1" x14ac:dyDescent="0.3"/>
    <row r="24" spans="1:22" ht="15.75" customHeight="1" x14ac:dyDescent="0.3"/>
    <row r="25" spans="1:22" ht="15.75" customHeight="1" x14ac:dyDescent="0.3"/>
    <row r="26" spans="1:22" ht="15.75" customHeight="1" x14ac:dyDescent="0.3"/>
    <row r="27" spans="1:22" ht="15.75" customHeight="1" x14ac:dyDescent="0.3"/>
    <row r="28" spans="1:22" ht="15.75" customHeight="1" x14ac:dyDescent="0.3"/>
    <row r="29" spans="1:22" ht="15.75" customHeight="1" x14ac:dyDescent="0.3"/>
    <row r="30" spans="1:22" ht="15.75" customHeight="1" x14ac:dyDescent="0.3"/>
    <row r="31" spans="1:22" ht="15.75" customHeight="1" x14ac:dyDescent="0.3"/>
    <row r="32" spans="1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3" r:id="rId1" xr:uid="{00000000-0004-0000-0100-000000000000}"/>
    <hyperlink ref="P4" r:id="rId2" xr:uid="{00000000-0004-0000-0100-000001000000}"/>
    <hyperlink ref="P5" r:id="rId3" xr:uid="{00000000-0004-0000-0100-000002000000}"/>
    <hyperlink ref="P6" r:id="rId4" xr:uid="{00000000-0004-0000-0100-000003000000}"/>
    <hyperlink ref="P7" r:id="rId5" xr:uid="{00000000-0004-0000-0100-000004000000}"/>
    <hyperlink ref="P8" r:id="rId6" xr:uid="{00000000-0004-0000-0100-000005000000}"/>
    <hyperlink ref="P9" r:id="rId7" xr:uid="{00000000-0004-0000-0100-000006000000}"/>
    <hyperlink ref="P11" r:id="rId8" xr:uid="{00000000-0004-0000-0100-000007000000}"/>
    <hyperlink ref="P12" r:id="rId9" xr:uid="{00000000-0004-0000-0100-000008000000}"/>
    <hyperlink ref="P13" r:id="rId10" xr:uid="{00000000-0004-0000-0100-000009000000}"/>
    <hyperlink ref="P14" r:id="rId11" xr:uid="{00000000-0004-0000-0100-00000A000000}"/>
    <hyperlink ref="P15" r:id="rId12" xr:uid="{00000000-0004-0000-0100-00000B000000}"/>
    <hyperlink ref="P16" r:id="rId13" xr:uid="{00000000-0004-0000-0100-00000C000000}"/>
    <hyperlink ref="P17" r:id="rId14" xr:uid="{00000000-0004-0000-0100-00000D000000}"/>
    <hyperlink ref="P19" r:id="rId15" xr:uid="{00000000-0004-0000-0100-00000E000000}"/>
  </hyperlinks>
  <pageMargins left="0.7" right="0.7" top="0.75" bottom="0.75" header="0" footer="0"/>
  <pageSetup orientation="landscape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file</vt:lpstr>
      <vt:lpstr>Final</vt:lpstr>
      <vt:lpstr>expected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Large</dc:creator>
  <cp:lastModifiedBy>Dustin Large</cp:lastModifiedBy>
  <dcterms:created xsi:type="dcterms:W3CDTF">2025-11-11T04:11:41Z</dcterms:created>
  <dcterms:modified xsi:type="dcterms:W3CDTF">2025-11-11T04:11:41Z</dcterms:modified>
</cp:coreProperties>
</file>